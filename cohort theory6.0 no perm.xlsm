
<file path=[Content_Types].xml><?xml version="1.0" encoding="utf-8"?>
<Types xmlns="http://schemas.openxmlformats.org/package/2006/content-types">
  <Default Extension="bin" ContentType="application/vnd.ms-office.activeX"/>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data and projects\CTM\"/>
    </mc:Choice>
  </mc:AlternateContent>
  <bookViews>
    <workbookView xWindow="0" yWindow="0" windowWidth="16755" windowHeight="9315"/>
  </bookViews>
  <sheets>
    <sheet name="user_interface" sheetId="1" r:id="rId1"/>
    <sheet name="outputs" sheetId="2" r:id="rId2"/>
  </sheets>
  <definedNames>
    <definedName name="BGTR">user_interface!$C$8</definedName>
    <definedName name="decay">user_interface!#REF!</definedName>
    <definedName name="depth">user_interface!$C$9</definedName>
    <definedName name="Dm">user_interface!$C$3</definedName>
    <definedName name="k1_">user_interface!$C$10</definedName>
    <definedName name="k2_">user_interface!$C$11</definedName>
    <definedName name="kr">user_interface!$C$5</definedName>
    <definedName name="min">user_interface!$C$6</definedName>
    <definedName name="omdr">user_interface!$C$7</definedName>
    <definedName name="refrac">user_interface!$C$7</definedName>
    <definedName name="Rm">user_interface!$C$12</definedName>
    <definedName name="RT">user_interface!$C$4</definedName>
    <definedName name="vol">user_interface!$C$14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99" i="2" l="1"/>
  <c r="T198" i="2"/>
  <c r="T197" i="2"/>
  <c r="T196" i="2"/>
  <c r="T195" i="2"/>
  <c r="T194" i="2"/>
  <c r="T193" i="2"/>
  <c r="T192" i="2"/>
  <c r="T191" i="2"/>
  <c r="T190" i="2"/>
  <c r="T189" i="2"/>
  <c r="T188" i="2"/>
  <c r="T187" i="2"/>
  <c r="T186" i="2"/>
  <c r="T185" i="2"/>
  <c r="T184" i="2"/>
  <c r="T183" i="2"/>
  <c r="T182" i="2"/>
  <c r="T181" i="2"/>
  <c r="T180" i="2"/>
  <c r="T179" i="2"/>
  <c r="T178" i="2"/>
  <c r="T177" i="2"/>
  <c r="T176" i="2"/>
  <c r="T175" i="2"/>
  <c r="T174" i="2"/>
  <c r="T173" i="2"/>
  <c r="T172" i="2"/>
  <c r="T171" i="2"/>
  <c r="T170" i="2"/>
  <c r="T169" i="2"/>
  <c r="T168" i="2"/>
  <c r="T167" i="2"/>
  <c r="T166" i="2"/>
  <c r="T165" i="2"/>
  <c r="T164" i="2"/>
  <c r="T163" i="2"/>
  <c r="T162" i="2"/>
  <c r="T161" i="2"/>
  <c r="T160" i="2"/>
  <c r="T159" i="2"/>
  <c r="T158" i="2"/>
  <c r="T157" i="2"/>
  <c r="T156" i="2"/>
  <c r="T155" i="2"/>
  <c r="T154" i="2"/>
  <c r="T153" i="2"/>
  <c r="T152" i="2"/>
  <c r="T151" i="2"/>
  <c r="T150" i="2"/>
  <c r="T149" i="2"/>
  <c r="T148" i="2"/>
  <c r="T147" i="2"/>
  <c r="T146" i="2"/>
  <c r="T145" i="2"/>
  <c r="T144" i="2"/>
  <c r="T143" i="2"/>
  <c r="T142" i="2"/>
  <c r="T141" i="2"/>
  <c r="T140" i="2"/>
  <c r="T139" i="2"/>
  <c r="T138" i="2"/>
  <c r="T137" i="2"/>
  <c r="T136" i="2"/>
  <c r="T135" i="2"/>
  <c r="T134" i="2"/>
  <c r="T133" i="2"/>
  <c r="T132" i="2"/>
  <c r="T131" i="2"/>
  <c r="T130" i="2"/>
  <c r="T129" i="2"/>
  <c r="T128" i="2"/>
  <c r="T127" i="2"/>
  <c r="T126" i="2"/>
  <c r="T125" i="2"/>
  <c r="T124" i="2"/>
  <c r="T123" i="2"/>
  <c r="T122" i="2"/>
  <c r="T121" i="2"/>
  <c r="T120" i="2"/>
  <c r="T119" i="2"/>
  <c r="T118" i="2"/>
  <c r="T117" i="2"/>
  <c r="T116" i="2"/>
  <c r="T115" i="2"/>
  <c r="T114" i="2"/>
  <c r="T113" i="2"/>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60" i="2"/>
  <c r="T59" i="2"/>
  <c r="T58" i="2"/>
  <c r="T57" i="2"/>
  <c r="T56" i="2"/>
  <c r="T55" i="2"/>
  <c r="T54" i="2"/>
  <c r="T53" i="2"/>
  <c r="T52" i="2"/>
  <c r="T51" i="2"/>
  <c r="T50" i="2"/>
  <c r="T49" i="2"/>
  <c r="T48" i="2"/>
  <c r="T47" i="2"/>
  <c r="T46" i="2"/>
  <c r="T45" i="2"/>
  <c r="T44" i="2"/>
  <c r="T43" i="2"/>
  <c r="T42" i="2"/>
  <c r="T41" i="2"/>
  <c r="T40" i="2"/>
  <c r="T39" i="2"/>
  <c r="T38" i="2"/>
  <c r="T37" i="2"/>
  <c r="T36" i="2"/>
  <c r="T35" i="2"/>
  <c r="T34" i="2"/>
  <c r="T33" i="2"/>
  <c r="T32" i="2"/>
  <c r="T31" i="2"/>
  <c r="T30" i="2"/>
  <c r="T29" i="2"/>
  <c r="T28" i="2"/>
  <c r="T27" i="2"/>
  <c r="T26" i="2"/>
  <c r="T25" i="2"/>
  <c r="T24" i="2"/>
  <c r="T23" i="2"/>
  <c r="T22" i="2"/>
  <c r="T21" i="2"/>
  <c r="T20" i="2"/>
  <c r="T19" i="2"/>
  <c r="T18" i="2"/>
  <c r="T17" i="2"/>
  <c r="T16" i="2"/>
  <c r="T15" i="2"/>
  <c r="T14" i="2"/>
  <c r="T13" i="2"/>
  <c r="T12" i="2"/>
  <c r="T11" i="2"/>
  <c r="T10" i="2"/>
  <c r="T9" i="2"/>
  <c r="T8" i="2"/>
  <c r="T7" i="2"/>
  <c r="T6" i="2"/>
  <c r="T5" i="2"/>
  <c r="T4" i="2"/>
  <c r="T3" i="2"/>
  <c r="P3" i="2" l="1"/>
  <c r="P4" i="2" s="1"/>
  <c r="Q4" i="2" s="1"/>
  <c r="P5" i="2" l="1"/>
  <c r="Q3" i="2"/>
  <c r="S4" i="2"/>
  <c r="S3" i="2" l="1"/>
  <c r="R3" i="2"/>
  <c r="P6" i="2"/>
  <c r="Q5" i="2"/>
  <c r="R4" i="2"/>
  <c r="S5" i="2" l="1"/>
  <c r="R5" i="2"/>
  <c r="P7" i="2"/>
  <c r="Q6" i="2"/>
  <c r="S6" i="2" l="1"/>
  <c r="R6" i="2"/>
  <c r="P8" i="2"/>
  <c r="Q7" i="2"/>
  <c r="S7" i="2" l="1"/>
  <c r="R7" i="2"/>
  <c r="P9" i="2"/>
  <c r="Q8" i="2"/>
  <c r="R8" i="2" l="1"/>
  <c r="S8" i="2"/>
  <c r="P10" i="2"/>
  <c r="Q9" i="2"/>
  <c r="R9" i="2" l="1"/>
  <c r="S9" i="2"/>
  <c r="P11" i="2"/>
  <c r="Q10" i="2"/>
  <c r="S10" i="2" l="1"/>
  <c r="R10" i="2"/>
  <c r="P12" i="2"/>
  <c r="Q11" i="2"/>
  <c r="S11" i="2" l="1"/>
  <c r="R11" i="2"/>
  <c r="P13" i="2"/>
  <c r="Q12" i="2"/>
  <c r="R12" i="2" l="1"/>
  <c r="S12" i="2"/>
  <c r="P14" i="2"/>
  <c r="Q13" i="2"/>
  <c r="S13" i="2" l="1"/>
  <c r="R13" i="2"/>
  <c r="P15" i="2"/>
  <c r="Q14" i="2"/>
  <c r="S14" i="2" l="1"/>
  <c r="R14" i="2"/>
  <c r="P16" i="2"/>
  <c r="Q15" i="2"/>
  <c r="S15" i="2" l="1"/>
  <c r="R15" i="2"/>
  <c r="P17" i="2"/>
  <c r="Q16" i="2"/>
  <c r="R16" i="2" l="1"/>
  <c r="S16" i="2"/>
  <c r="P18" i="2"/>
  <c r="Q17" i="2"/>
  <c r="S17" i="2" l="1"/>
  <c r="R17" i="2"/>
  <c r="P19" i="2"/>
  <c r="Q18" i="2"/>
  <c r="R18" i="2" l="1"/>
  <c r="S18" i="2"/>
  <c r="P20" i="2"/>
  <c r="Q19" i="2"/>
  <c r="S19" i="2" l="1"/>
  <c r="R19" i="2"/>
  <c r="P21" i="2"/>
  <c r="Q20" i="2"/>
  <c r="R20" i="2" l="1"/>
  <c r="S20" i="2"/>
  <c r="P22" i="2"/>
  <c r="Q21" i="2"/>
  <c r="S21" i="2" l="1"/>
  <c r="R21" i="2"/>
  <c r="P23" i="2"/>
  <c r="Q22" i="2"/>
  <c r="S22" i="2" l="1"/>
  <c r="R22" i="2"/>
  <c r="P24" i="2"/>
  <c r="Q23" i="2"/>
  <c r="S23" i="2" l="1"/>
  <c r="R23" i="2"/>
  <c r="P25" i="2"/>
  <c r="Q24" i="2"/>
  <c r="R24" i="2" l="1"/>
  <c r="S24" i="2"/>
  <c r="P26" i="2"/>
  <c r="Q25" i="2"/>
  <c r="S25" i="2" l="1"/>
  <c r="R25" i="2"/>
  <c r="P27" i="2"/>
  <c r="Q26" i="2"/>
  <c r="S26" i="2" l="1"/>
  <c r="R26" i="2"/>
  <c r="P28" i="2"/>
  <c r="Q27" i="2"/>
  <c r="S27" i="2" l="1"/>
  <c r="R27" i="2"/>
  <c r="P29" i="2"/>
  <c r="Q28" i="2"/>
  <c r="R28" i="2" l="1"/>
  <c r="S28" i="2"/>
  <c r="P30" i="2"/>
  <c r="Q29" i="2"/>
  <c r="R29" i="2" l="1"/>
  <c r="S29" i="2"/>
  <c r="P31" i="2"/>
  <c r="Q30" i="2"/>
  <c r="R30" i="2" l="1"/>
  <c r="S30" i="2"/>
  <c r="P32" i="2"/>
  <c r="Q31" i="2"/>
  <c r="S31" i="2" l="1"/>
  <c r="R31" i="2"/>
  <c r="P33" i="2"/>
  <c r="Q32" i="2"/>
  <c r="R32" i="2" l="1"/>
  <c r="S32" i="2"/>
  <c r="P34" i="2"/>
  <c r="Q33" i="2"/>
  <c r="S33" i="2" l="1"/>
  <c r="R33" i="2"/>
  <c r="P35" i="2"/>
  <c r="Q34" i="2"/>
  <c r="S34" i="2" l="1"/>
  <c r="R34" i="2"/>
  <c r="P36" i="2"/>
  <c r="Q35" i="2"/>
  <c r="S35" i="2" l="1"/>
  <c r="R35" i="2"/>
  <c r="P37" i="2"/>
  <c r="Q36" i="2"/>
  <c r="R36" i="2" l="1"/>
  <c r="S36" i="2"/>
  <c r="P38" i="2"/>
  <c r="Q37" i="2"/>
  <c r="S37" i="2" l="1"/>
  <c r="R37" i="2"/>
  <c r="P39" i="2"/>
  <c r="Q38" i="2"/>
  <c r="S38" i="2" l="1"/>
  <c r="R38" i="2"/>
  <c r="P40" i="2"/>
  <c r="Q39" i="2"/>
  <c r="S39" i="2" l="1"/>
  <c r="R39" i="2"/>
  <c r="P41" i="2"/>
  <c r="Q40" i="2"/>
  <c r="R40" i="2" l="1"/>
  <c r="S40" i="2"/>
  <c r="P42" i="2"/>
  <c r="Q41" i="2"/>
  <c r="R41" i="2" l="1"/>
  <c r="S41" i="2"/>
  <c r="P43" i="2"/>
  <c r="Q42" i="2"/>
  <c r="S42" i="2" l="1"/>
  <c r="R42" i="2"/>
  <c r="P44" i="2"/>
  <c r="Q43" i="2"/>
  <c r="S43" i="2" l="1"/>
  <c r="R43" i="2"/>
  <c r="P45" i="2"/>
  <c r="Q44" i="2"/>
  <c r="R44" i="2" l="1"/>
  <c r="S44" i="2"/>
  <c r="P46" i="2"/>
  <c r="Q45" i="2"/>
  <c r="S45" i="2" l="1"/>
  <c r="R45" i="2"/>
  <c r="P47" i="2"/>
  <c r="Q46" i="2"/>
  <c r="S46" i="2" l="1"/>
  <c r="R46" i="2"/>
  <c r="P48" i="2"/>
  <c r="Q47" i="2"/>
  <c r="S47" i="2" l="1"/>
  <c r="R47" i="2"/>
  <c r="P49" i="2"/>
  <c r="Q48" i="2"/>
  <c r="R48" i="2" l="1"/>
  <c r="S48" i="2"/>
  <c r="P50" i="2"/>
  <c r="Q49" i="2"/>
  <c r="S49" i="2" l="1"/>
  <c r="R49" i="2"/>
  <c r="P51" i="2"/>
  <c r="Q50" i="2"/>
  <c r="R50" i="2" l="1"/>
  <c r="S50" i="2"/>
  <c r="P52" i="2"/>
  <c r="Q51" i="2"/>
  <c r="S51" i="2" l="1"/>
  <c r="R51" i="2"/>
  <c r="P53" i="2"/>
  <c r="Q52" i="2"/>
  <c r="R52" i="2" l="1"/>
  <c r="S52" i="2"/>
  <c r="P54" i="2"/>
  <c r="Q53" i="2"/>
  <c r="S53" i="2" l="1"/>
  <c r="R53" i="2"/>
  <c r="P55" i="2"/>
  <c r="Q54" i="2"/>
  <c r="S54" i="2" l="1"/>
  <c r="R54" i="2"/>
  <c r="P56" i="2"/>
  <c r="Q55" i="2"/>
  <c r="S55" i="2" l="1"/>
  <c r="R55" i="2"/>
  <c r="P57" i="2"/>
  <c r="Q56" i="2"/>
  <c r="R56" i="2" l="1"/>
  <c r="S56" i="2"/>
  <c r="P58" i="2"/>
  <c r="Q57" i="2"/>
  <c r="S57" i="2" l="1"/>
  <c r="R57" i="2"/>
  <c r="P59" i="2"/>
  <c r="Q58" i="2"/>
  <c r="S58" i="2" l="1"/>
  <c r="R58" i="2"/>
  <c r="P60" i="2"/>
  <c r="Q59" i="2"/>
  <c r="S59" i="2" l="1"/>
  <c r="R59" i="2"/>
  <c r="P61" i="2"/>
  <c r="Q60" i="2"/>
  <c r="R60" i="2" l="1"/>
  <c r="S60" i="2"/>
  <c r="P62" i="2"/>
  <c r="Q61" i="2"/>
  <c r="R61" i="2" l="1"/>
  <c r="S61" i="2"/>
  <c r="P63" i="2"/>
  <c r="Q62" i="2"/>
  <c r="R62" i="2" l="1"/>
  <c r="S62" i="2"/>
  <c r="P64" i="2"/>
  <c r="Q63" i="2"/>
  <c r="S63" i="2" l="1"/>
  <c r="R63" i="2"/>
  <c r="P65" i="2"/>
  <c r="Q64" i="2"/>
  <c r="R64" i="2" l="1"/>
  <c r="S64" i="2"/>
  <c r="P66" i="2"/>
  <c r="Q65" i="2"/>
  <c r="S65" i="2" l="1"/>
  <c r="R65" i="2"/>
  <c r="P67" i="2"/>
  <c r="Q66" i="2"/>
  <c r="S66" i="2" l="1"/>
  <c r="R66" i="2"/>
  <c r="P68" i="2"/>
  <c r="Q67" i="2"/>
  <c r="S67" i="2" l="1"/>
  <c r="R67" i="2"/>
  <c r="P69" i="2"/>
  <c r="Q68" i="2"/>
  <c r="R68" i="2" l="1"/>
  <c r="S68" i="2"/>
  <c r="P70" i="2"/>
  <c r="Q69" i="2"/>
  <c r="S69" i="2" l="1"/>
  <c r="R69" i="2"/>
  <c r="P71" i="2"/>
  <c r="Q70" i="2"/>
  <c r="S70" i="2" l="1"/>
  <c r="R70" i="2"/>
  <c r="P72" i="2"/>
  <c r="Q71" i="2"/>
  <c r="S71" i="2" l="1"/>
  <c r="R71" i="2"/>
  <c r="P73" i="2"/>
  <c r="Q72" i="2"/>
  <c r="R72" i="2" l="1"/>
  <c r="S72" i="2"/>
  <c r="P74" i="2"/>
  <c r="Q73" i="2"/>
  <c r="R73" i="2" l="1"/>
  <c r="S73" i="2"/>
  <c r="P75" i="2"/>
  <c r="Q74" i="2"/>
  <c r="S74" i="2" l="1"/>
  <c r="R74" i="2"/>
  <c r="P76" i="2"/>
  <c r="Q75" i="2"/>
  <c r="S75" i="2" l="1"/>
  <c r="R75" i="2"/>
  <c r="P77" i="2"/>
  <c r="Q76" i="2"/>
  <c r="R76" i="2" l="1"/>
  <c r="S76" i="2"/>
  <c r="P78" i="2"/>
  <c r="Q77" i="2"/>
  <c r="S77" i="2" l="1"/>
  <c r="R77" i="2"/>
  <c r="P79" i="2"/>
  <c r="Q78" i="2"/>
  <c r="S78" i="2" l="1"/>
  <c r="R78" i="2"/>
  <c r="P80" i="2"/>
  <c r="Q79" i="2"/>
  <c r="S79" i="2" l="1"/>
  <c r="R79" i="2"/>
  <c r="P81" i="2"/>
  <c r="Q80" i="2"/>
  <c r="R80" i="2" l="1"/>
  <c r="S80" i="2"/>
  <c r="P82" i="2"/>
  <c r="Q81" i="2"/>
  <c r="S81" i="2" l="1"/>
  <c r="R81" i="2"/>
  <c r="P83" i="2"/>
  <c r="Q82" i="2"/>
  <c r="R82" i="2" l="1"/>
  <c r="S82" i="2"/>
  <c r="P84" i="2"/>
  <c r="Q83" i="2"/>
  <c r="S83" i="2" l="1"/>
  <c r="R83" i="2"/>
  <c r="P85" i="2"/>
  <c r="Q84" i="2"/>
  <c r="R84" i="2" l="1"/>
  <c r="S84" i="2"/>
  <c r="P86" i="2"/>
  <c r="Q85" i="2"/>
  <c r="S85" i="2" l="1"/>
  <c r="R85" i="2"/>
  <c r="P87" i="2"/>
  <c r="Q86" i="2"/>
  <c r="S86" i="2" l="1"/>
  <c r="R86" i="2"/>
  <c r="P88" i="2"/>
  <c r="Q87" i="2"/>
  <c r="S87" i="2" l="1"/>
  <c r="R87" i="2"/>
  <c r="P89" i="2"/>
  <c r="Q88" i="2"/>
  <c r="R88" i="2" l="1"/>
  <c r="S88" i="2"/>
  <c r="P90" i="2"/>
  <c r="Q89" i="2"/>
  <c r="S89" i="2" l="1"/>
  <c r="R89" i="2"/>
  <c r="P91" i="2"/>
  <c r="Q90" i="2"/>
  <c r="S90" i="2" l="1"/>
  <c r="R90" i="2"/>
  <c r="P92" i="2"/>
  <c r="Q91" i="2"/>
  <c r="S91" i="2" l="1"/>
  <c r="R91" i="2"/>
  <c r="P93" i="2"/>
  <c r="Q92" i="2"/>
  <c r="R92" i="2" l="1"/>
  <c r="S92" i="2"/>
  <c r="P94" i="2"/>
  <c r="Q93" i="2"/>
  <c r="R93" i="2" l="1"/>
  <c r="S93" i="2"/>
  <c r="P95" i="2"/>
  <c r="Q94" i="2"/>
  <c r="R94" i="2" l="1"/>
  <c r="S94" i="2"/>
  <c r="P96" i="2"/>
  <c r="Q95" i="2"/>
  <c r="S95" i="2" l="1"/>
  <c r="R95" i="2"/>
  <c r="P97" i="2"/>
  <c r="Q96" i="2"/>
  <c r="R96" i="2" l="1"/>
  <c r="S96" i="2"/>
  <c r="P98" i="2"/>
  <c r="Q97" i="2"/>
  <c r="S97" i="2" l="1"/>
  <c r="R97" i="2"/>
  <c r="P99" i="2"/>
  <c r="Q98" i="2"/>
  <c r="S98" i="2" l="1"/>
  <c r="R98" i="2"/>
  <c r="P100" i="2"/>
  <c r="Q99" i="2"/>
  <c r="S99" i="2" l="1"/>
  <c r="R99" i="2"/>
  <c r="P101" i="2"/>
  <c r="Q100" i="2"/>
  <c r="R100" i="2" l="1"/>
  <c r="S100" i="2"/>
  <c r="P102" i="2"/>
  <c r="Q101" i="2"/>
  <c r="S101" i="2" l="1"/>
  <c r="R101" i="2"/>
  <c r="P103" i="2"/>
  <c r="Q102" i="2"/>
  <c r="S102" i="2" l="1"/>
  <c r="R102" i="2"/>
  <c r="P104" i="2"/>
  <c r="Q103" i="2"/>
  <c r="S103" i="2" l="1"/>
  <c r="R103" i="2"/>
  <c r="P105" i="2"/>
  <c r="Q104" i="2"/>
  <c r="R104" i="2" s="1"/>
  <c r="P106" i="2" l="1"/>
  <c r="Q105" i="2"/>
  <c r="R105" i="2" s="1"/>
  <c r="P107" i="2" l="1"/>
  <c r="Q106" i="2"/>
  <c r="R106" i="2" s="1"/>
  <c r="P108" i="2" l="1"/>
  <c r="Q107" i="2"/>
  <c r="R107" i="2" s="1"/>
  <c r="P109" i="2" l="1"/>
  <c r="Q108" i="2"/>
  <c r="R108" i="2" s="1"/>
  <c r="P110" i="2" l="1"/>
  <c r="Q109" i="2"/>
  <c r="R109" i="2" s="1"/>
  <c r="P111" i="2" l="1"/>
  <c r="Q110" i="2"/>
  <c r="R110" i="2" s="1"/>
  <c r="P112" i="2" l="1"/>
  <c r="Q111" i="2"/>
  <c r="R111" i="2" s="1"/>
  <c r="P113" i="2" l="1"/>
  <c r="Q112" i="2"/>
  <c r="R112" i="2" s="1"/>
  <c r="P114" i="2" l="1"/>
  <c r="Q113" i="2"/>
  <c r="R113" i="2" s="1"/>
  <c r="P115" i="2" l="1"/>
  <c r="Q114" i="2"/>
  <c r="R114" i="2" s="1"/>
  <c r="P116" i="2" l="1"/>
  <c r="Q115" i="2"/>
  <c r="R115" i="2" s="1"/>
  <c r="P117" i="2" l="1"/>
  <c r="Q116" i="2"/>
  <c r="R116" i="2" s="1"/>
  <c r="P118" i="2" l="1"/>
  <c r="Q117" i="2"/>
  <c r="R117" i="2" s="1"/>
  <c r="P119" i="2" l="1"/>
  <c r="Q118" i="2"/>
  <c r="R118" i="2" s="1"/>
  <c r="P120" i="2" l="1"/>
  <c r="Q119" i="2"/>
  <c r="R119" i="2" s="1"/>
  <c r="P121" i="2" l="1"/>
  <c r="Q120" i="2"/>
  <c r="R120" i="2" s="1"/>
  <c r="P122" i="2" l="1"/>
  <c r="Q121" i="2"/>
  <c r="R121" i="2" s="1"/>
  <c r="P123" i="2" l="1"/>
  <c r="Q122" i="2"/>
  <c r="R122" i="2" s="1"/>
  <c r="P124" i="2" l="1"/>
  <c r="Q123" i="2"/>
  <c r="R123" i="2" s="1"/>
  <c r="P125" i="2" l="1"/>
  <c r="Q124" i="2"/>
  <c r="R124" i="2" s="1"/>
  <c r="P126" i="2" l="1"/>
  <c r="Q125" i="2"/>
  <c r="R125" i="2" s="1"/>
  <c r="P127" i="2" l="1"/>
  <c r="Q126" i="2"/>
  <c r="R126" i="2" s="1"/>
  <c r="P128" i="2" l="1"/>
  <c r="Q127" i="2"/>
  <c r="R127" i="2" s="1"/>
  <c r="P129" i="2" l="1"/>
  <c r="Q128" i="2"/>
  <c r="R128" i="2" s="1"/>
  <c r="P130" i="2" l="1"/>
  <c r="Q129" i="2"/>
  <c r="R129" i="2" s="1"/>
  <c r="P131" i="2" l="1"/>
  <c r="Q130" i="2"/>
  <c r="R130" i="2" s="1"/>
  <c r="P132" i="2" l="1"/>
  <c r="Q131" i="2"/>
  <c r="R131" i="2" s="1"/>
  <c r="P133" i="2" l="1"/>
  <c r="Q132" i="2"/>
  <c r="R132" i="2" s="1"/>
  <c r="P134" i="2" l="1"/>
  <c r="Q133" i="2"/>
  <c r="R133" i="2" s="1"/>
  <c r="P135" i="2" l="1"/>
  <c r="Q134" i="2"/>
  <c r="R134" i="2" s="1"/>
  <c r="P136" i="2" l="1"/>
  <c r="Q135" i="2"/>
  <c r="R135" i="2" s="1"/>
  <c r="P137" i="2" l="1"/>
  <c r="Q136" i="2"/>
  <c r="R136" i="2" s="1"/>
  <c r="P138" i="2" l="1"/>
  <c r="Q137" i="2"/>
  <c r="R137" i="2" s="1"/>
  <c r="P139" i="2" l="1"/>
  <c r="Q138" i="2"/>
  <c r="R138" i="2" s="1"/>
  <c r="P140" i="2" l="1"/>
  <c r="Q139" i="2"/>
  <c r="R139" i="2" s="1"/>
  <c r="P141" i="2" l="1"/>
  <c r="Q140" i="2"/>
  <c r="R140" i="2" s="1"/>
  <c r="P142" i="2" l="1"/>
  <c r="Q141" i="2"/>
  <c r="R141" i="2" s="1"/>
  <c r="P143" i="2" l="1"/>
  <c r="Q142" i="2"/>
  <c r="R142" i="2" s="1"/>
  <c r="P144" i="2" l="1"/>
  <c r="Q143" i="2"/>
  <c r="R143" i="2" s="1"/>
  <c r="P145" i="2" l="1"/>
  <c r="Q144" i="2"/>
  <c r="R144" i="2" s="1"/>
  <c r="P146" i="2" l="1"/>
  <c r="Q145" i="2"/>
  <c r="R145" i="2" s="1"/>
  <c r="P147" i="2" l="1"/>
  <c r="Q146" i="2"/>
  <c r="R146" i="2" s="1"/>
  <c r="P148" i="2" l="1"/>
  <c r="Q147" i="2"/>
  <c r="R147" i="2" s="1"/>
  <c r="P149" i="2" l="1"/>
  <c r="Q148" i="2"/>
  <c r="R148" i="2" s="1"/>
  <c r="P150" i="2" l="1"/>
  <c r="Q149" i="2"/>
  <c r="R149" i="2" s="1"/>
  <c r="P151" i="2" l="1"/>
  <c r="Q150" i="2"/>
  <c r="R150" i="2" s="1"/>
  <c r="P152" i="2" l="1"/>
  <c r="Q151" i="2"/>
  <c r="R151" i="2" s="1"/>
  <c r="P153" i="2" l="1"/>
  <c r="Q152" i="2"/>
  <c r="R152" i="2" s="1"/>
  <c r="P154" i="2" l="1"/>
  <c r="Q153" i="2"/>
  <c r="R153" i="2" s="1"/>
  <c r="P155" i="2" l="1"/>
  <c r="Q154" i="2"/>
  <c r="R154" i="2" s="1"/>
  <c r="P156" i="2" l="1"/>
  <c r="Q155" i="2"/>
  <c r="R155" i="2" s="1"/>
  <c r="P157" i="2" l="1"/>
  <c r="Q156" i="2"/>
  <c r="R156" i="2" s="1"/>
  <c r="P158" i="2" l="1"/>
  <c r="Q157" i="2"/>
  <c r="R157" i="2" s="1"/>
  <c r="P159" i="2" l="1"/>
  <c r="Q158" i="2"/>
  <c r="R158" i="2" s="1"/>
  <c r="P160" i="2" l="1"/>
  <c r="Q159" i="2"/>
  <c r="R159" i="2" s="1"/>
  <c r="P161" i="2" l="1"/>
  <c r="Q160" i="2"/>
  <c r="R160" i="2" s="1"/>
  <c r="P162" i="2" l="1"/>
  <c r="Q161" i="2"/>
  <c r="R161" i="2" s="1"/>
  <c r="P163" i="2" l="1"/>
  <c r="Q162" i="2"/>
  <c r="R162" i="2" s="1"/>
  <c r="P164" i="2" l="1"/>
  <c r="Q163" i="2"/>
  <c r="R163" i="2" s="1"/>
  <c r="P165" i="2" l="1"/>
  <c r="Q164" i="2"/>
  <c r="R164" i="2" s="1"/>
  <c r="P166" i="2" l="1"/>
  <c r="Q165" i="2"/>
  <c r="R165" i="2" s="1"/>
  <c r="P167" i="2" l="1"/>
  <c r="Q166" i="2"/>
  <c r="R166" i="2" s="1"/>
  <c r="P168" i="2" l="1"/>
  <c r="Q167" i="2"/>
  <c r="R167" i="2" s="1"/>
  <c r="P169" i="2" l="1"/>
  <c r="Q168" i="2"/>
  <c r="R168" i="2" s="1"/>
  <c r="P170" i="2" l="1"/>
  <c r="Q169" i="2"/>
  <c r="R169" i="2" s="1"/>
  <c r="P171" i="2" l="1"/>
  <c r="Q170" i="2"/>
  <c r="R170" i="2" s="1"/>
  <c r="P172" i="2" l="1"/>
  <c r="Q171" i="2"/>
  <c r="R171" i="2" s="1"/>
  <c r="P173" i="2" l="1"/>
  <c r="Q172" i="2"/>
  <c r="R172" i="2" s="1"/>
  <c r="P174" i="2" l="1"/>
  <c r="Q173" i="2"/>
  <c r="R173" i="2" s="1"/>
  <c r="P175" i="2" l="1"/>
  <c r="Q174" i="2"/>
  <c r="R174" i="2" s="1"/>
  <c r="P176" i="2" l="1"/>
  <c r="Q175" i="2"/>
  <c r="R175" i="2" s="1"/>
  <c r="P177" i="2" l="1"/>
  <c r="Q176" i="2"/>
  <c r="R176" i="2" s="1"/>
  <c r="P178" i="2" l="1"/>
  <c r="Q177" i="2"/>
  <c r="R177" i="2" s="1"/>
  <c r="P179" i="2" l="1"/>
  <c r="Q178" i="2"/>
  <c r="R178" i="2" s="1"/>
  <c r="P180" i="2" l="1"/>
  <c r="Q179" i="2"/>
  <c r="R179" i="2" s="1"/>
  <c r="P181" i="2" l="1"/>
  <c r="Q180" i="2"/>
  <c r="R180" i="2" s="1"/>
  <c r="P182" i="2" l="1"/>
  <c r="Q181" i="2"/>
  <c r="R181" i="2" s="1"/>
  <c r="P183" i="2" l="1"/>
  <c r="Q182" i="2"/>
  <c r="R182" i="2" s="1"/>
  <c r="P184" i="2" l="1"/>
  <c r="Q183" i="2"/>
  <c r="R183" i="2" s="1"/>
  <c r="P185" i="2" l="1"/>
  <c r="Q184" i="2"/>
  <c r="R184" i="2" s="1"/>
  <c r="P186" i="2" l="1"/>
  <c r="Q185" i="2"/>
  <c r="R185" i="2" s="1"/>
  <c r="P187" i="2" l="1"/>
  <c r="Q186" i="2"/>
  <c r="R186" i="2" s="1"/>
  <c r="P188" i="2" l="1"/>
  <c r="Q187" i="2"/>
  <c r="R187" i="2" s="1"/>
  <c r="P189" i="2" l="1"/>
  <c r="Q188" i="2"/>
  <c r="R188" i="2" s="1"/>
  <c r="P190" i="2" l="1"/>
  <c r="Q189" i="2"/>
  <c r="R189" i="2" s="1"/>
  <c r="P191" i="2" l="1"/>
  <c r="Q190" i="2"/>
  <c r="R190" i="2" s="1"/>
  <c r="P192" i="2" l="1"/>
  <c r="Q191" i="2"/>
  <c r="R191" i="2" s="1"/>
  <c r="P193" i="2" l="1"/>
  <c r="Q192" i="2"/>
  <c r="R192" i="2" s="1"/>
  <c r="P194" i="2" l="1"/>
  <c r="Q193" i="2"/>
  <c r="R193" i="2" s="1"/>
  <c r="P195" i="2" l="1"/>
  <c r="Q194" i="2"/>
  <c r="R194" i="2" s="1"/>
  <c r="P196" i="2" l="1"/>
  <c r="Q195" i="2"/>
  <c r="R195" i="2" s="1"/>
  <c r="P197" i="2" l="1"/>
  <c r="Q196" i="2"/>
  <c r="R196" i="2" s="1"/>
  <c r="P198" i="2" l="1"/>
  <c r="Q197" i="2"/>
  <c r="R197" i="2" s="1"/>
  <c r="P199" i="2" l="1"/>
  <c r="Q198" i="2"/>
  <c r="R198" i="2" s="1"/>
  <c r="P200" i="2" l="1"/>
  <c r="P201" i="2" s="1"/>
  <c r="P202" i="2" s="1"/>
  <c r="P203" i="2" s="1"/>
  <c r="P204" i="2" s="1"/>
  <c r="P205" i="2" s="1"/>
  <c r="P206" i="2" s="1"/>
  <c r="P207" i="2" s="1"/>
  <c r="P208" i="2" s="1"/>
  <c r="P209" i="2" s="1"/>
  <c r="P210" i="2" s="1"/>
  <c r="P211" i="2" s="1"/>
  <c r="P212" i="2" s="1"/>
  <c r="P213" i="2" s="1"/>
  <c r="P214" i="2" s="1"/>
  <c r="P215" i="2" s="1"/>
  <c r="P216" i="2" s="1"/>
  <c r="P217" i="2" s="1"/>
  <c r="P218" i="2" s="1"/>
  <c r="P219" i="2" s="1"/>
  <c r="P220" i="2" s="1"/>
  <c r="P221" i="2" s="1"/>
  <c r="P222" i="2" s="1"/>
  <c r="P223" i="2" s="1"/>
  <c r="P224" i="2" s="1"/>
  <c r="P225" i="2" s="1"/>
  <c r="P226" i="2" s="1"/>
  <c r="P227" i="2" s="1"/>
  <c r="P228" i="2" s="1"/>
  <c r="P229" i="2" s="1"/>
  <c r="P230" i="2" s="1"/>
  <c r="P231" i="2" s="1"/>
  <c r="P232" i="2" s="1"/>
  <c r="P233" i="2" s="1"/>
  <c r="P234" i="2" s="1"/>
  <c r="P235" i="2" s="1"/>
  <c r="P236" i="2" s="1"/>
  <c r="P237" i="2" s="1"/>
  <c r="P238" i="2" s="1"/>
  <c r="P239" i="2" s="1"/>
  <c r="P240" i="2" s="1"/>
  <c r="P241" i="2" s="1"/>
  <c r="P242" i="2" s="1"/>
  <c r="P243" i="2" s="1"/>
  <c r="P244" i="2" s="1"/>
  <c r="P245" i="2" s="1"/>
  <c r="P246" i="2" s="1"/>
  <c r="P247" i="2" s="1"/>
  <c r="P248" i="2" s="1"/>
  <c r="P249" i="2" s="1"/>
  <c r="Q199" i="2"/>
  <c r="R199" i="2" s="1"/>
</calcChain>
</file>

<file path=xl/sharedStrings.xml><?xml version="1.0" encoding="utf-8"?>
<sst xmlns="http://schemas.openxmlformats.org/spreadsheetml/2006/main" count="73" uniqueCount="70">
  <si>
    <t>Dm</t>
  </si>
  <si>
    <t>RT</t>
  </si>
  <si>
    <t>kr</t>
  </si>
  <si>
    <t>BGTR</t>
  </si>
  <si>
    <t>cm3</t>
  </si>
  <si>
    <t>k1</t>
  </si>
  <si>
    <t>k2</t>
  </si>
  <si>
    <t>g/m2</t>
  </si>
  <si>
    <t>LOI (%)</t>
  </si>
  <si>
    <t>mg/liter</t>
  </si>
  <si>
    <t>vert accr rate (mm/y)</t>
  </si>
  <si>
    <t>= depth of root zone</t>
  </si>
  <si>
    <t>= total root &amp; rhizome biomass</t>
  </si>
  <si>
    <t xml:space="preserve"> yr-1</t>
  </si>
  <si>
    <t xml:space="preserve"> g/g</t>
  </si>
  <si>
    <t>= g/cm3</t>
  </si>
  <si>
    <t>= OM self packing density</t>
  </si>
  <si>
    <t>D</t>
  </si>
  <si>
    <t>Labile OM (g/m2)</t>
  </si>
  <si>
    <t>Refrac Biomass (g/m2)</t>
  </si>
  <si>
    <t>Mineral (g/cm2)</t>
  </si>
  <si>
    <t>cm</t>
  </si>
  <si>
    <t>Calc'd volume (cm3)</t>
  </si>
  <si>
    <t>Model Outputs</t>
  </si>
  <si>
    <t>Dry Bulk Density (g/cm3)</t>
  </si>
  <si>
    <t>Surface Accretion</t>
  </si>
  <si>
    <t>Steady St Accretion</t>
  </si>
  <si>
    <t>Weighted C Age</t>
  </si>
  <si>
    <t>yr</t>
  </si>
  <si>
    <t>Internal consistency check</t>
  </si>
  <si>
    <t>years of input</t>
  </si>
  <si>
    <t>Decay per section (g/m2/yr)</t>
  </si>
  <si>
    <t>Root Prod per section (g/m2/yr)</t>
  </si>
  <si>
    <t>mm/yr</t>
  </si>
  <si>
    <t>Horizon Age (yr)</t>
  </si>
  <si>
    <r>
      <t xml:space="preserve">    g m</t>
    </r>
    <r>
      <rPr>
        <vertAlign val="superscript"/>
        <sz val="11"/>
        <color theme="1"/>
        <rFont val="Calibri"/>
        <family val="2"/>
        <scheme val="minor"/>
      </rPr>
      <t>-2</t>
    </r>
    <r>
      <rPr>
        <sz val="11"/>
        <color theme="1"/>
        <rFont val="Calibri"/>
        <family val="2"/>
        <scheme val="minor"/>
      </rPr>
      <t xml:space="preserve"> yr</t>
    </r>
    <r>
      <rPr>
        <vertAlign val="superscript"/>
        <sz val="11"/>
        <color theme="1"/>
        <rFont val="Calibri"/>
        <family val="2"/>
        <scheme val="minor"/>
      </rPr>
      <t>-1</t>
    </r>
  </si>
  <si>
    <t xml:space="preserve">These are the simulated vertical accretion rates as you would measure at the surface (e.g. over a marker  horizon), from a depth corresponding to the Cs layer (ca. 50 yr), and the actual steady state acretion rate.  </t>
  </si>
  <si>
    <t>Root Biomass (g/m2)</t>
  </si>
  <si>
    <t>Annual BG Prod</t>
  </si>
  <si>
    <t>CY</t>
  </si>
  <si>
    <t>date</t>
  </si>
  <si>
    <t>Accretion to Cs pk</t>
  </si>
  <si>
    <t>Cesium Horizon Age</t>
  </si>
  <si>
    <t>The last rows give the  weighted carbon age at the depth of the Cs peak horizon and its age.  Steady state accretion = (RT*kr*BGTR/k1 + SSC input/k2) and should be like a perfect SET-derived rate, assuming all is constant over time.</t>
  </si>
  <si>
    <r>
      <t>Note: there should be reasonable agreement between the numerical and analytical calculations above.  The importance of numerical error depends on the parameter values.  The model searches to find the number of years of organic and mineral inputs required to fill 1 cm</t>
    </r>
    <r>
      <rPr>
        <vertAlign val="superscript"/>
        <sz val="12"/>
        <color theme="1"/>
        <rFont val="Calibri"/>
        <family val="2"/>
        <scheme val="minor"/>
      </rPr>
      <t>3</t>
    </r>
    <r>
      <rPr>
        <sz val="12"/>
        <color theme="1"/>
        <rFont val="Calibri"/>
        <family val="2"/>
        <scheme val="minor"/>
      </rPr>
      <t>, which varies with depth.  The annual mineral input is assumed constant.</t>
    </r>
  </si>
  <si>
    <r>
      <t>These are inputs that can be modified (</t>
    </r>
    <r>
      <rPr>
        <b/>
        <sz val="11"/>
        <color theme="1"/>
        <rFont val="Calibri"/>
        <family val="2"/>
        <scheme val="minor"/>
      </rPr>
      <t>excepting k1 and k2</t>
    </r>
    <r>
      <rPr>
        <sz val="11"/>
        <color theme="1"/>
        <rFont val="Calibri"/>
        <family val="2"/>
        <scheme val="minor"/>
      </rPr>
      <t>).</t>
    </r>
  </si>
  <si>
    <r>
      <rPr>
        <vertAlign val="superscript"/>
        <sz val="11"/>
        <color theme="1"/>
        <rFont val="Calibri"/>
        <family val="2"/>
        <scheme val="minor"/>
      </rPr>
      <t>210</t>
    </r>
    <r>
      <rPr>
        <sz val="11"/>
        <color theme="1"/>
        <rFont val="Calibri"/>
        <family val="2"/>
        <scheme val="minor"/>
      </rPr>
      <t>Pb Accretion rate</t>
    </r>
  </si>
  <si>
    <t xml:space="preserve">Click Run    </t>
  </si>
  <si>
    <t xml:space="preserve">= Labile OM decay rate </t>
  </si>
  <si>
    <t>= Root &amp; Rhizome Turnover</t>
  </si>
  <si>
    <t>= Depth of Marsh Surf  bel MHW</t>
  </si>
  <si>
    <t>= Year Core Taken</t>
  </si>
  <si>
    <t>= Refractory Fraction of OM Prod</t>
  </si>
  <si>
    <t>= Suspended Sed Conc.</t>
  </si>
  <si>
    <t>SSC</t>
  </si>
  <si>
    <t>OMDR</t>
  </si>
  <si>
    <t>= mineral self packing density</t>
  </si>
  <si>
    <t>Numerical:</t>
  </si>
  <si>
    <t>Ln(Pb210)</t>
  </si>
  <si>
    <t>Core Section or Depth (cm)</t>
  </si>
  <si>
    <t>Analytical:</t>
  </si>
  <si>
    <r>
      <t xml:space="preserve">COHORT THEORY MODEL v6.0  </t>
    </r>
    <r>
      <rPr>
        <sz val="15"/>
        <color theme="1"/>
        <rFont val="Calibri"/>
        <family val="2"/>
      </rPr>
      <t>© 2018</t>
    </r>
    <r>
      <rPr>
        <sz val="15"/>
        <color theme="1"/>
        <rFont val="Calibri"/>
        <family val="2"/>
        <scheme val="minor"/>
      </rPr>
      <t xml:space="preserve"> James Morris</t>
    </r>
  </si>
  <si>
    <t>Pb210 (dmp/g/cm3)</t>
  </si>
  <si>
    <t>Qx</t>
  </si>
  <si>
    <t>Tx</t>
  </si>
  <si>
    <t>age</t>
  </si>
  <si>
    <t>AR</t>
  </si>
  <si>
    <t xml:space="preserve">Ann. Decay </t>
  </si>
  <si>
    <t>Refr. OM Pr.</t>
  </si>
  <si>
    <t xml:space="preserve">  @ 5.8 cm</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</si>
</sst>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4" formatCode="_(&quot;$&quot;* #,##0.00_);_(&quot;$&quot;* \(#,##0.00\);_(&quot;$&quot;* &quot;-&quot;??_);_(@_)"/>
    <numFmt numFmtId="164" formatCode="0.0"/>
    <numFmt numFmtId="165" formatCode="0.000"/>
    <numFmt numFmtId="166" formatCode="0.00000"/>
    <numFmt numFmtId="167" formatCode="0.0000"/>
  </numFmts>
  <fonts count="14" x14ac:knownFonts="1">
    <font>
      <sz val="11"/>
      <color theme="1"/>
      <name val="Calibri"/>
      <family val="2"/>
      <scheme val="minor"/>
    </font>
    <font>
      <b/>
      <sz val="11"/>
      <color theme="1"/>
      <name val="Calibri"/>
      <family val="2"/>
      <scheme val="minor"/>
    </font>
    <font>
      <sz val="14"/>
      <color theme="1"/>
      <name val="Calibri"/>
      <family val="2"/>
      <scheme val="minor"/>
    </font>
    <font>
      <b/>
      <sz val="11"/>
      <name val="Calibri"/>
      <family val="2"/>
      <scheme val="minor"/>
    </font>
    <font>
      <sz val="11"/>
      <name val="Calibri"/>
      <family val="2"/>
      <scheme val="minor"/>
    </font>
    <font>
      <sz val="12"/>
      <color theme="1"/>
      <name val="Calibri"/>
      <family val="2"/>
      <scheme val="minor"/>
    </font>
    <font>
      <sz val="18"/>
      <color theme="1"/>
      <name val="Calibri"/>
      <family val="2"/>
      <scheme val="minor"/>
    </font>
    <font>
      <sz val="10"/>
      <color theme="1"/>
      <name val="Calibri"/>
      <family val="2"/>
      <scheme val="minor"/>
    </font>
    <font>
      <vertAlign val="superscript"/>
      <sz val="11"/>
      <color theme="1"/>
      <name val="Calibri"/>
      <family val="2"/>
      <scheme val="minor"/>
    </font>
    <font>
      <b/>
      <sz val="14"/>
      <color theme="1"/>
      <name val="Times New Roman"/>
      <family val="1"/>
    </font>
    <font>
      <vertAlign val="superscript"/>
      <sz val="12"/>
      <color theme="1"/>
      <name val="Calibri"/>
      <family val="2"/>
      <scheme val="minor"/>
    </font>
    <font>
      <sz val="22"/>
      <color theme="1"/>
      <name val="Times New Roman"/>
      <family val="1"/>
    </font>
    <font>
      <sz val="15"/>
      <color theme="1"/>
      <name val="Calibri"/>
      <family val="2"/>
      <scheme val="minor"/>
    </font>
    <font>
      <sz val="15"/>
      <color theme="1"/>
      <name val="Calibri"/>
      <family val="2"/>
    </font>
  </fonts>
  <fills count="8">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9" tint="0.59999389629810485"/>
        <bgColor indexed="64"/>
      </patternFill>
    </fill>
  </fills>
  <borders count="1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s>
  <cellStyleXfs count="1">
    <xf numFmtId="0" fontId="0" fillId="0" borderId="0"/>
  </cellStyleXfs>
  <cellXfs count="126">
    <xf numFmtId="0" fontId="0" fillId="0" borderId="0" xfId="0"/>
    <xf numFmtId="2" fontId="0" fillId="0" borderId="0" xfId="0" applyNumberFormat="1"/>
    <xf numFmtId="2" fontId="0" fillId="0" borderId="0" xfId="0" applyNumberFormat="1" applyAlignment="1">
      <alignment wrapText="1"/>
    </xf>
    <xf numFmtId="1" fontId="0" fillId="0" borderId="0" xfId="0" applyNumberFormat="1"/>
    <xf numFmtId="164" fontId="0" fillId="0" borderId="0" xfId="0" applyNumberFormat="1"/>
    <xf numFmtId="164" fontId="0" fillId="0" borderId="0" xfId="0" applyNumberFormat="1" applyAlignment="1">
      <alignment wrapText="1"/>
    </xf>
    <xf numFmtId="2" fontId="0" fillId="0" borderId="0" xfId="0" applyNumberFormat="1" applyFill="1"/>
    <xf numFmtId="165" fontId="0" fillId="0" borderId="0" xfId="0" applyNumberFormat="1" applyAlignment="1">
      <alignment wrapText="1"/>
    </xf>
    <xf numFmtId="165" fontId="0" fillId="0" borderId="0" xfId="0" applyNumberFormat="1"/>
    <xf numFmtId="0" fontId="0" fillId="0" borderId="0" xfId="0" applyBorder="1"/>
    <xf numFmtId="0" fontId="0" fillId="2" borderId="0" xfId="0" applyFill="1"/>
    <xf numFmtId="0" fontId="0" fillId="2" borderId="0" xfId="0" applyFill="1" applyAlignment="1">
      <alignment horizontal="center" wrapText="1"/>
    </xf>
    <xf numFmtId="0" fontId="0" fillId="2" borderId="0" xfId="0" applyFill="1" applyAlignment="1">
      <alignment horizontal="right"/>
    </xf>
    <xf numFmtId="1" fontId="0" fillId="2" borderId="0" xfId="0" applyNumberFormat="1" applyFill="1"/>
    <xf numFmtId="2" fontId="0" fillId="2" borderId="0" xfId="0" applyNumberFormat="1" applyFill="1" applyAlignment="1">
      <alignment horizontal="right"/>
    </xf>
    <xf numFmtId="0" fontId="1" fillId="0" borderId="12" xfId="0" applyFont="1" applyBorder="1"/>
    <xf numFmtId="0" fontId="0" fillId="0" borderId="13" xfId="0" quotePrefix="1" applyBorder="1"/>
    <xf numFmtId="0" fontId="0" fillId="3" borderId="0" xfId="0" applyFill="1" applyBorder="1"/>
    <xf numFmtId="0" fontId="0" fillId="3" borderId="0" xfId="0" applyFill="1" applyBorder="1" applyAlignment="1">
      <alignment horizontal="center" wrapText="1"/>
    </xf>
    <xf numFmtId="0" fontId="0" fillId="3" borderId="0" xfId="0" applyFill="1" applyBorder="1" applyAlignment="1">
      <alignment horizontal="right"/>
    </xf>
    <xf numFmtId="1" fontId="0" fillId="3" borderId="0" xfId="0" applyNumberFormat="1" applyFill="1" applyBorder="1"/>
    <xf numFmtId="2" fontId="0" fillId="3" borderId="0" xfId="0" applyNumberFormat="1" applyFill="1" applyBorder="1" applyAlignment="1">
      <alignment horizontal="right"/>
    </xf>
    <xf numFmtId="164" fontId="0" fillId="3" borderId="0" xfId="0" applyNumberFormat="1" applyFill="1" applyBorder="1"/>
    <xf numFmtId="0" fontId="6" fillId="0" borderId="0" xfId="0" applyFont="1" applyAlignment="1">
      <alignment horizontal="center"/>
    </xf>
    <xf numFmtId="44" fontId="7" fillId="0" borderId="0" xfId="0" applyNumberFormat="1" applyFont="1" applyAlignment="1">
      <alignment horizontal="center" wrapText="1"/>
    </xf>
    <xf numFmtId="2" fontId="7" fillId="0" borderId="0" xfId="0" applyNumberFormat="1" applyFont="1" applyAlignment="1">
      <alignment wrapText="1"/>
    </xf>
    <xf numFmtId="164" fontId="7" fillId="0" borderId="0" xfId="0" applyNumberFormat="1" applyFont="1" applyAlignment="1">
      <alignment wrapText="1"/>
    </xf>
    <xf numFmtId="1" fontId="7" fillId="0" borderId="0" xfId="0" applyNumberFormat="1" applyFont="1" applyAlignment="1">
      <alignment horizontal="center" wrapText="1"/>
    </xf>
    <xf numFmtId="1" fontId="7" fillId="0" borderId="0" xfId="0" applyNumberFormat="1" applyFont="1" applyAlignment="1">
      <alignment wrapText="1"/>
    </xf>
    <xf numFmtId="164" fontId="7" fillId="0" borderId="0" xfId="0" applyNumberFormat="1" applyFont="1" applyAlignment="1">
      <alignment horizontal="center" wrapText="1"/>
    </xf>
    <xf numFmtId="165" fontId="7" fillId="0" borderId="0" xfId="0" applyNumberFormat="1" applyFont="1" applyAlignment="1">
      <alignment wrapText="1"/>
    </xf>
    <xf numFmtId="2" fontId="7" fillId="0" borderId="0" xfId="0" applyNumberFormat="1" applyFont="1" applyAlignment="1">
      <alignment horizontal="center"/>
    </xf>
    <xf numFmtId="0" fontId="0" fillId="0" borderId="0" xfId="0" applyBorder="1" applyAlignment="1"/>
    <xf numFmtId="0" fontId="0" fillId="2" borderId="0" xfId="0" applyFill="1" applyAlignment="1">
      <alignment horizontal="right" wrapText="1"/>
    </xf>
    <xf numFmtId="0" fontId="0" fillId="5" borderId="0" xfId="0" applyFont="1" applyFill="1"/>
    <xf numFmtId="0" fontId="0" fillId="5" borderId="0" xfId="0" applyFill="1"/>
    <xf numFmtId="0" fontId="0" fillId="5" borderId="0" xfId="0" quotePrefix="1" applyFill="1"/>
    <xf numFmtId="165" fontId="0" fillId="5" borderId="0" xfId="0" applyNumberFormat="1" applyFill="1"/>
    <xf numFmtId="1" fontId="0" fillId="5" borderId="0" xfId="0" applyNumberFormat="1" applyFill="1"/>
    <xf numFmtId="2" fontId="0" fillId="5" borderId="0" xfId="0" applyNumberFormat="1" applyFill="1"/>
    <xf numFmtId="164" fontId="0" fillId="5" borderId="0" xfId="0" applyNumberFormat="1" applyFill="1"/>
    <xf numFmtId="0" fontId="0" fillId="5" borderId="7" xfId="0" applyFill="1" applyBorder="1"/>
    <xf numFmtId="165" fontId="0" fillId="5" borderId="7" xfId="0" applyNumberFormat="1" applyFill="1" applyBorder="1"/>
    <xf numFmtId="1" fontId="0" fillId="5" borderId="7" xfId="0" applyNumberFormat="1" applyFill="1" applyBorder="1"/>
    <xf numFmtId="2" fontId="0" fillId="5" borderId="7" xfId="0" applyNumberFormat="1" applyFill="1" applyBorder="1"/>
    <xf numFmtId="164" fontId="0" fillId="5" borderId="7" xfId="0" applyNumberFormat="1" applyFill="1" applyBorder="1"/>
    <xf numFmtId="1" fontId="0" fillId="5" borderId="0" xfId="0" applyNumberFormat="1" applyFill="1" applyAlignment="1">
      <alignment horizontal="right"/>
    </xf>
    <xf numFmtId="2" fontId="0" fillId="5" borderId="0" xfId="0" applyNumberFormat="1" applyFill="1" applyAlignment="1">
      <alignment horizontal="right"/>
    </xf>
    <xf numFmtId="164" fontId="0" fillId="5" borderId="0" xfId="0" applyNumberFormat="1" applyFill="1" applyAlignment="1">
      <alignment horizontal="right"/>
    </xf>
    <xf numFmtId="2" fontId="0" fillId="5" borderId="0" xfId="0" applyNumberFormat="1" applyFill="1" applyProtection="1"/>
    <xf numFmtId="164" fontId="0" fillId="0" borderId="0" xfId="0" applyNumberFormat="1" applyBorder="1"/>
    <xf numFmtId="164" fontId="0" fillId="0" borderId="0" xfId="0" applyNumberFormat="1" applyFill="1" applyBorder="1"/>
    <xf numFmtId="0" fontId="0" fillId="3" borderId="0" xfId="0" applyFill="1"/>
    <xf numFmtId="165" fontId="0" fillId="3" borderId="0" xfId="0" applyNumberFormat="1" applyFill="1"/>
    <xf numFmtId="1" fontId="0" fillId="3" borderId="0" xfId="0" applyNumberFormat="1" applyFill="1"/>
    <xf numFmtId="2" fontId="0" fillId="3" borderId="0" xfId="0" applyNumberFormat="1" applyFill="1"/>
    <xf numFmtId="164" fontId="0" fillId="3" borderId="0" xfId="0" applyNumberFormat="1" applyFill="1"/>
    <xf numFmtId="0" fontId="0" fillId="3" borderId="0" xfId="0" applyFill="1" applyBorder="1" applyAlignment="1">
      <alignment wrapText="1"/>
    </xf>
    <xf numFmtId="2" fontId="0" fillId="2" borderId="1" xfId="0" applyNumberFormat="1" applyFill="1" applyBorder="1" applyAlignment="1"/>
    <xf numFmtId="2" fontId="0" fillId="2" borderId="4" xfId="0" applyNumberFormat="1" applyFill="1" applyBorder="1" applyAlignment="1"/>
    <xf numFmtId="164" fontId="0" fillId="2" borderId="4" xfId="0" applyNumberFormat="1" applyFill="1" applyBorder="1" applyAlignment="1"/>
    <xf numFmtId="165" fontId="0" fillId="5" borderId="5" xfId="0" applyNumberFormat="1" applyFill="1" applyBorder="1"/>
    <xf numFmtId="165" fontId="0" fillId="5" borderId="8" xfId="0" applyNumberFormat="1" applyFill="1" applyBorder="1"/>
    <xf numFmtId="0" fontId="0" fillId="0" borderId="0" xfId="0" quotePrefix="1" applyBorder="1"/>
    <xf numFmtId="164" fontId="0" fillId="3" borderId="0" xfId="0" applyNumberFormat="1" applyFill="1" applyBorder="1" applyAlignment="1">
      <alignment wrapText="1"/>
    </xf>
    <xf numFmtId="1" fontId="0" fillId="2" borderId="0" xfId="0" applyNumberFormat="1" applyFill="1" applyProtection="1">
      <protection locked="0"/>
    </xf>
    <xf numFmtId="166" fontId="0" fillId="0" borderId="0" xfId="0" applyNumberFormat="1"/>
    <xf numFmtId="49" fontId="4" fillId="3" borderId="8" xfId="0" quotePrefix="1" applyNumberFormat="1" applyFont="1" applyFill="1" applyBorder="1"/>
    <xf numFmtId="0" fontId="2" fillId="0" borderId="0" xfId="0" applyFont="1"/>
    <xf numFmtId="164" fontId="9" fillId="2" borderId="2" xfId="0" applyNumberFormat="1" applyFont="1" applyFill="1" applyBorder="1" applyAlignment="1"/>
    <xf numFmtId="164" fontId="9" fillId="2" borderId="0" xfId="0" applyNumberFormat="1" applyFont="1" applyFill="1" applyBorder="1" applyAlignment="1"/>
    <xf numFmtId="1" fontId="9" fillId="2" borderId="0" xfId="0" applyNumberFormat="1" applyFont="1" applyFill="1" applyBorder="1" applyAlignment="1"/>
    <xf numFmtId="0" fontId="0" fillId="0" borderId="0" xfId="0" applyFill="1"/>
    <xf numFmtId="0" fontId="3" fillId="5" borderId="0" xfId="0" applyFont="1" applyFill="1"/>
    <xf numFmtId="0" fontId="4" fillId="5" borderId="0" xfId="0" quotePrefix="1" applyFont="1" applyFill="1"/>
    <xf numFmtId="0" fontId="1" fillId="5" borderId="0" xfId="0" applyFont="1" applyFill="1" applyBorder="1"/>
    <xf numFmtId="0" fontId="3" fillId="5" borderId="0" xfId="0" applyFont="1" applyFill="1" applyBorder="1"/>
    <xf numFmtId="0" fontId="4" fillId="5" borderId="0" xfId="0" quotePrefix="1" applyFont="1" applyFill="1" applyBorder="1"/>
    <xf numFmtId="0" fontId="1" fillId="0" borderId="4" xfId="0" applyFont="1" applyBorder="1"/>
    <xf numFmtId="0" fontId="1" fillId="3" borderId="6" xfId="0" applyFont="1" applyFill="1" applyBorder="1"/>
    <xf numFmtId="0" fontId="1" fillId="5" borderId="2" xfId="0" applyFont="1" applyFill="1" applyBorder="1"/>
    <xf numFmtId="0" fontId="0" fillId="5" borderId="0" xfId="0" applyFill="1" applyBorder="1"/>
    <xf numFmtId="0" fontId="0" fillId="0" borderId="0" xfId="0" applyFill="1" applyBorder="1"/>
    <xf numFmtId="0" fontId="0" fillId="0" borderId="0" xfId="0" applyBorder="1" applyAlignment="1">
      <alignment horizontal="center"/>
    </xf>
    <xf numFmtId="0" fontId="4" fillId="3" borderId="7" xfId="0" quotePrefix="1" applyFont="1" applyFill="1" applyBorder="1" applyAlignment="1">
      <alignment horizontal="center"/>
    </xf>
    <xf numFmtId="0" fontId="1" fillId="7" borderId="0" xfId="0" applyFont="1" applyFill="1" applyBorder="1"/>
    <xf numFmtId="0" fontId="1" fillId="7" borderId="7" xfId="0" applyFont="1" applyFill="1" applyBorder="1"/>
    <xf numFmtId="164" fontId="5" fillId="2" borderId="5" xfId="0" applyNumberFormat="1" applyFont="1" applyFill="1" applyBorder="1"/>
    <xf numFmtId="164" fontId="5" fillId="2" borderId="3" xfId="0" applyNumberFormat="1" applyFont="1" applyFill="1" applyBorder="1"/>
    <xf numFmtId="0" fontId="0" fillId="0" borderId="11" xfId="0" applyBorder="1" applyAlignment="1">
      <alignment horizontal="right" vertical="center"/>
    </xf>
    <xf numFmtId="164" fontId="9" fillId="2" borderId="5" xfId="0" applyNumberFormat="1" applyFont="1" applyFill="1" applyBorder="1"/>
    <xf numFmtId="167" fontId="0" fillId="3" borderId="0" xfId="0" applyNumberFormat="1" applyFill="1"/>
    <xf numFmtId="0" fontId="12" fillId="0" borderId="14" xfId="0" applyFont="1" applyBorder="1" applyAlignment="1">
      <alignment horizontal="center" vertical="center"/>
    </xf>
    <xf numFmtId="0" fontId="0" fillId="0" borderId="14" xfId="0" applyBorder="1" applyAlignment="1">
      <alignment horizontal="center" vertical="center"/>
    </xf>
    <xf numFmtId="0" fontId="0" fillId="0" borderId="9" xfId="0" applyBorder="1" applyAlignment="1">
      <alignment horizontal="center" wrapText="1"/>
    </xf>
    <xf numFmtId="0" fontId="0" fillId="0" borderId="10" xfId="0" applyBorder="1" applyAlignment="1">
      <alignment horizontal="center" wrapText="1"/>
    </xf>
    <xf numFmtId="0" fontId="0" fillId="3" borderId="0" xfId="0" applyFill="1" applyBorder="1" applyAlignment="1">
      <alignment horizontal="center"/>
    </xf>
    <xf numFmtId="2" fontId="0" fillId="3" borderId="0" xfId="0" applyNumberFormat="1" applyFill="1" applyBorder="1" applyAlignment="1"/>
    <xf numFmtId="0" fontId="0" fillId="3" borderId="0" xfId="0" applyFill="1" applyBorder="1" applyAlignment="1"/>
    <xf numFmtId="0" fontId="2" fillId="2" borderId="18" xfId="0" applyFont="1" applyFill="1" applyBorder="1" applyAlignment="1">
      <alignment horizontal="center"/>
    </xf>
    <xf numFmtId="0" fontId="0" fillId="0" borderId="2" xfId="0" applyBorder="1" applyAlignment="1"/>
    <xf numFmtId="0" fontId="0" fillId="0" borderId="3" xfId="0" applyBorder="1" applyAlignment="1"/>
    <xf numFmtId="165" fontId="0" fillId="6" borderId="1" xfId="0" applyNumberFormat="1" applyFill="1"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0" fillId="0" borderId="5" xfId="0" applyBorder="1" applyAlignment="1">
      <alignment vertical="center" wrapText="1"/>
    </xf>
    <xf numFmtId="0" fontId="0" fillId="0" borderId="6" xfId="0" applyBorder="1" applyAlignment="1">
      <alignment vertical="center" wrapText="1"/>
    </xf>
    <xf numFmtId="0" fontId="0" fillId="0" borderId="7" xfId="0" applyBorder="1" applyAlignment="1">
      <alignment vertical="center" wrapText="1"/>
    </xf>
    <xf numFmtId="0" fontId="0" fillId="0" borderId="8" xfId="0" applyBorder="1" applyAlignment="1">
      <alignment vertical="center" wrapText="1"/>
    </xf>
    <xf numFmtId="165" fontId="0" fillId="6" borderId="15" xfId="0" applyNumberFormat="1" applyFill="1" applyBorder="1" applyAlignment="1">
      <alignment wrapText="1"/>
    </xf>
    <xf numFmtId="0" fontId="0" fillId="0" borderId="16" xfId="0" applyBorder="1" applyAlignment="1">
      <alignment wrapText="1"/>
    </xf>
    <xf numFmtId="0" fontId="0" fillId="0" borderId="17" xfId="0" applyBorder="1" applyAlignment="1">
      <alignment wrapText="1"/>
    </xf>
    <xf numFmtId="0" fontId="11" fillId="0" borderId="0" xfId="0" applyFont="1" applyAlignment="1">
      <alignment horizontal="center" vertical="center"/>
    </xf>
    <xf numFmtId="0" fontId="0" fillId="0" borderId="0" xfId="0" applyAlignment="1">
      <alignment horizontal="center" vertical="center"/>
    </xf>
    <xf numFmtId="0" fontId="5" fillId="4" borderId="1" xfId="0" applyFont="1" applyFill="1" applyBorder="1" applyAlignment="1">
      <alignment horizontal="left" vertical="center" wrapText="1"/>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0" fontId="5" fillId="4" borderId="4" xfId="0" applyFont="1" applyFill="1" applyBorder="1" applyAlignment="1">
      <alignment horizontal="left" vertical="center" wrapText="1"/>
    </xf>
    <xf numFmtId="0" fontId="5" fillId="0" borderId="0" xfId="0" applyFont="1" applyBorder="1" applyAlignment="1">
      <alignment horizontal="left" vertical="center" wrapText="1"/>
    </xf>
    <xf numFmtId="0" fontId="5" fillId="0" borderId="5" xfId="0" applyFont="1" applyBorder="1" applyAlignment="1">
      <alignment horizontal="left" vertical="center" wrapText="1"/>
    </xf>
    <xf numFmtId="0" fontId="5" fillId="0" borderId="4" xfId="0" applyFont="1" applyBorder="1" applyAlignment="1">
      <alignment horizontal="left" vertical="center" wrapText="1"/>
    </xf>
    <xf numFmtId="0" fontId="5" fillId="0" borderId="6" xfId="0" applyFont="1" applyBorder="1" applyAlignment="1">
      <alignment horizontal="left" vertical="center" wrapText="1"/>
    </xf>
    <xf numFmtId="0" fontId="5" fillId="0" borderId="7" xfId="0" applyFont="1" applyBorder="1" applyAlignment="1">
      <alignment horizontal="left" vertical="center" wrapText="1"/>
    </xf>
    <xf numFmtId="0" fontId="5" fillId="0" borderId="8" xfId="0" applyFont="1" applyBorder="1" applyAlignment="1">
      <alignment horizontal="left" vertical="center" wrapText="1"/>
    </xf>
  </cellXfs>
  <cellStyles count="1">
    <cellStyle name="Normal" xfId="0" builtinId="0"/>
  </cellStyles>
  <dxfs count="0"/>
  <tableStyles count="0" defaultTableStyle="TableStyleMedium2" defaultPivotStyle="PivotStyleLight16"/>
  <colors>
    <mruColors>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Excess Pb210 dpm/g</a:t>
            </a:r>
          </a:p>
        </c:rich>
      </c:tx>
      <c:layout>
        <c:manualLayout>
          <c:xMode val="edge"/>
          <c:yMode val="edge"/>
          <c:x val="0.26898580578605014"/>
          <c:y val="2.21557358228034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8174268027332239"/>
          <c:y val="0.15952688172043011"/>
          <c:w val="0.67765226696281788"/>
          <c:h val="0.5951500671742801"/>
        </c:manualLayout>
      </c:layout>
      <c:scatterChart>
        <c:scatterStyle val="smoothMarker"/>
        <c:varyColors val="0"/>
        <c:ser>
          <c:idx val="0"/>
          <c:order val="0"/>
          <c:tx>
            <c:v>Pb210</c:v>
          </c:tx>
          <c:spPr>
            <a:ln w="19050" cap="rnd">
              <a:solidFill>
                <a:schemeClr val="tx1"/>
              </a:solidFill>
              <a:round/>
            </a:ln>
            <a:effectLst/>
          </c:spPr>
          <c:marker>
            <c:symbol val="circle"/>
            <c:size val="5"/>
            <c:spPr>
              <a:solidFill>
                <a:schemeClr val="accent1"/>
              </a:solidFill>
              <a:ln w="9525">
                <a:solidFill>
                  <a:srgbClr val="C00000"/>
                </a:solidFill>
              </a:ln>
              <a:effectLst/>
            </c:spPr>
          </c:marker>
          <c:trendline>
            <c:spPr>
              <a:ln w="19050" cap="rnd">
                <a:solidFill>
                  <a:schemeClr val="tx1"/>
                </a:solidFill>
                <a:prstDash val="sysDot"/>
              </a:ln>
              <a:effectLst/>
            </c:spPr>
            <c:trendlineType val="exp"/>
            <c:dispRSqr val="0"/>
            <c:dispEq val="0"/>
          </c:trendline>
          <c:xVal>
            <c:numRef>
              <c:f>outputs!$A$3:$A$30</c:f>
              <c:numCache>
                <c:formatCode>General</c:formatCode>
                <c:ptCount val="28"/>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numCache>
            </c:numRef>
          </c:xVal>
          <c:yVal>
            <c:numRef>
              <c:f>outputs!$O$3:$O$30</c:f>
              <c:numCache>
                <c:formatCode>General</c:formatCode>
                <c:ptCount val="28"/>
                <c:pt idx="0">
                  <c:v>30.583341477495928</c:v>
                </c:pt>
                <c:pt idx="1">
                  <c:v>22.073271282635435</c:v>
                </c:pt>
                <c:pt idx="2">
                  <c:v>16.468050611150289</c:v>
                </c:pt>
                <c:pt idx="3">
                  <c:v>12.558929844224899</c:v>
                </c:pt>
                <c:pt idx="4">
                  <c:v>9.7438747517889457</c:v>
                </c:pt>
                <c:pt idx="5">
                  <c:v>7.6669650306323209</c:v>
                </c:pt>
                <c:pt idx="6">
                  <c:v>6.0992040151746698</c:v>
                </c:pt>
                <c:pt idx="7">
                  <c:v>4.8902034751589625</c:v>
                </c:pt>
                <c:pt idx="8">
                  <c:v>3.9512556069594615</c:v>
                </c:pt>
                <c:pt idx="9">
                  <c:v>3.212870718119595</c:v>
                </c:pt>
                <c:pt idx="10">
                  <c:v>2.6245517837797014</c:v>
                </c:pt>
                <c:pt idx="11">
                  <c:v>2.1541021136608007</c:v>
                </c:pt>
                <c:pt idx="12">
                  <c:v>1.773488729586278</c:v>
                </c:pt>
                <c:pt idx="13">
                  <c:v>1.464676063564331</c:v>
                </c:pt>
                <c:pt idx="14">
                  <c:v>1.2134048896696306</c:v>
                </c:pt>
                <c:pt idx="15">
                  <c:v>1.0083722893120399</c:v>
                </c:pt>
                <c:pt idx="16">
                  <c:v>0.8393289596986222</c:v>
                </c:pt>
                <c:pt idx="17">
                  <c:v>0.69967825214592061</c:v>
                </c:pt>
                <c:pt idx="18">
                  <c:v>0.58419836402699699</c:v>
                </c:pt>
                <c:pt idx="19">
                  <c:v>0.48851455620137024</c:v>
                </c:pt>
                <c:pt idx="20">
                  <c:v>0.40915713228989181</c:v>
                </c:pt>
                <c:pt idx="21">
                  <c:v>0.34269103505419468</c:v>
                </c:pt>
                <c:pt idx="22">
                  <c:v>0.28745569750771649</c:v>
                </c:pt>
                <c:pt idx="23">
                  <c:v>0.24150948622069315</c:v>
                </c:pt>
                <c:pt idx="24">
                  <c:v>0.20290720427629516</c:v>
                </c:pt>
                <c:pt idx="25">
                  <c:v>0.17047501608114693</c:v>
                </c:pt>
                <c:pt idx="26">
                  <c:v>0.14344318615002793</c:v>
                </c:pt>
                <c:pt idx="27">
                  <c:v>0.12089096715527503</c:v>
                </c:pt>
              </c:numCache>
            </c:numRef>
          </c:yVal>
          <c:smooth val="1"/>
        </c:ser>
        <c:dLbls>
          <c:showLegendKey val="0"/>
          <c:showVal val="0"/>
          <c:showCatName val="0"/>
          <c:showSerName val="0"/>
          <c:showPercent val="0"/>
          <c:showBubbleSize val="0"/>
        </c:dLbls>
        <c:axId val="276274000"/>
        <c:axId val="276274560"/>
      </c:scatterChart>
      <c:valAx>
        <c:axId val="276274000"/>
        <c:scaling>
          <c:orientation val="minMax"/>
          <c:max val="30"/>
          <c:min val="0"/>
        </c:scaling>
        <c:delete val="0"/>
        <c:axPos val="b"/>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6274560"/>
        <c:crossesAt val="1.0000000000000002E-3"/>
        <c:crossBetween val="midCat"/>
        <c:majorUnit val="5"/>
      </c:valAx>
      <c:valAx>
        <c:axId val="27627456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627400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Live Root Biomass in each 1cm x 1cm</a:t>
            </a:r>
            <a:r>
              <a:rPr lang="en-US" baseline="30000">
                <a:solidFill>
                  <a:sysClr val="windowText" lastClr="000000"/>
                </a:solidFill>
                <a:latin typeface="Arial" panose="020B0604020202020204" pitchFamily="34" charset="0"/>
                <a:cs typeface="Arial" panose="020B0604020202020204" pitchFamily="34" charset="0"/>
              </a:rPr>
              <a:t>2</a:t>
            </a:r>
            <a:r>
              <a:rPr lang="en-US">
                <a:solidFill>
                  <a:sysClr val="windowText" lastClr="000000"/>
                </a:solidFill>
                <a:latin typeface="Arial" panose="020B0604020202020204" pitchFamily="34" charset="0"/>
                <a:cs typeface="Arial" panose="020B0604020202020204" pitchFamily="34" charset="0"/>
              </a:rPr>
              <a:t> slice</a:t>
            </a:r>
          </a:p>
        </c:rich>
      </c:tx>
      <c:layout>
        <c:manualLayout>
          <c:xMode val="edge"/>
          <c:yMode val="edge"/>
          <c:x val="0.17010336600815978"/>
          <c:y val="6.454919724532945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098551679362966"/>
          <c:y val="0.15952688172043011"/>
          <c:w val="0.71863343002377911"/>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pt idx="28">
                  <c:v>29.232878201735296</c:v>
                </c:pt>
                <c:pt idx="29">
                  <c:v>30.244838913741226</c:v>
                </c:pt>
                <c:pt idx="30">
                  <c:v>31.259149370866261</c:v>
                </c:pt>
                <c:pt idx="31">
                  <c:v>32.275584387507791</c:v>
                </c:pt>
                <c:pt idx="32">
                  <c:v>33.293939840142436</c:v>
                </c:pt>
                <c:pt idx="33">
                  <c:v>34.29546920864879</c:v>
                </c:pt>
                <c:pt idx="34">
                  <c:v>35.298512858313536</c:v>
                </c:pt>
                <c:pt idx="35">
                  <c:v>36.302926935574398</c:v>
                </c:pt>
                <c:pt idx="36">
                  <c:v>37.308581039515758</c:v>
                </c:pt>
                <c:pt idx="37">
                  <c:v>38.315357003265476</c:v>
                </c:pt>
                <c:pt idx="38">
                  <c:v>39.323147778399473</c:v>
                </c:pt>
                <c:pt idx="39">
                  <c:v>40.331856415062909</c:v>
                </c:pt>
                <c:pt idx="40">
                  <c:v>41.341395130744516</c:v>
                </c:pt>
                <c:pt idx="41">
                  <c:v>42.351684460930038</c:v>
                </c:pt>
                <c:pt idx="42">
                  <c:v>43.362652485192577</c:v>
                </c:pt>
                <c:pt idx="43">
                  <c:v>44.374234122635265</c:v>
                </c:pt>
                <c:pt idx="44">
                  <c:v>45.386370490970762</c:v>
                </c:pt>
                <c:pt idx="45">
                  <c:v>46.399008323897213</c:v>
                </c:pt>
                <c:pt idx="46">
                  <c:v>47.412099441798709</c:v>
                </c:pt>
                <c:pt idx="47">
                  <c:v>48.425600271158771</c:v>
                </c:pt>
                <c:pt idx="48">
                  <c:v>49.439471408423096</c:v>
                </c:pt>
                <c:pt idx="49">
                  <c:v>50.453677224378801</c:v>
                </c:pt>
              </c:numCache>
            </c:numRef>
          </c:xVal>
          <c:yVal>
            <c:numRef>
              <c:f>outputs!$E$3:$E$52</c:f>
              <c:numCache>
                <c:formatCode>General</c:formatCode>
                <c:ptCount val="50"/>
                <c:pt idx="0">
                  <c:v>95.626021507506096</c:v>
                </c:pt>
                <c:pt idx="1">
                  <c:v>86.075438859384292</c:v>
                </c:pt>
                <c:pt idx="2">
                  <c:v>78.173204901032861</c:v>
                </c:pt>
                <c:pt idx="3">
                  <c:v>70.924496844679055</c:v>
                </c:pt>
                <c:pt idx="4">
                  <c:v>64.014461900179342</c:v>
                </c:pt>
                <c:pt idx="5">
                  <c:v>57.760014702660015</c:v>
                </c:pt>
                <c:pt idx="6">
                  <c:v>52.298385778566768</c:v>
                </c:pt>
                <c:pt idx="7">
                  <c:v>47.647477407484374</c:v>
                </c:pt>
                <c:pt idx="8">
                  <c:v>42.529114925481778</c:v>
                </c:pt>
                <c:pt idx="9">
                  <c:v>38.909236597821582</c:v>
                </c:pt>
                <c:pt idx="10">
                  <c:v>34.915170980290952</c:v>
                </c:pt>
                <c:pt idx="11">
                  <c:v>31.716919132601884</c:v>
                </c:pt>
                <c:pt idx="12">
                  <c:v>28.725729961398383</c:v>
                </c:pt>
                <c:pt idx="13">
                  <c:v>25.953323628014115</c:v>
                </c:pt>
                <c:pt idx="14">
                  <c:v>23.402758750132175</c:v>
                </c:pt>
                <c:pt idx="15">
                  <c:v>21.070654690469425</c:v>
                </c:pt>
                <c:pt idx="16">
                  <c:v>19.261089982637703</c:v>
                </c:pt>
                <c:pt idx="17">
                  <c:v>17.284967425581943</c:v>
                </c:pt>
                <c:pt idx="18">
                  <c:v>15.761846056474072</c:v>
                </c:pt>
                <c:pt idx="19">
                  <c:v>14.1126635202789</c:v>
                </c:pt>
                <c:pt idx="20">
                  <c:v>12.849220388030783</c:v>
                </c:pt>
                <c:pt idx="21">
                  <c:v>11.683308514079602</c:v>
                </c:pt>
                <c:pt idx="22">
                  <c:v>10.43299904474404</c:v>
                </c:pt>
                <c:pt idx="23">
                  <c:v>9.4809788872050742</c:v>
                </c:pt>
                <c:pt idx="24">
                  <c:v>8.6076591758361545</c:v>
                </c:pt>
                <c:pt idx="25">
                  <c:v>7.8080857360044584</c:v>
                </c:pt>
                <c:pt idx="26">
                  <c:v>6.9569532286991587</c:v>
                </c:pt>
                <c:pt idx="27">
                  <c:v>6.3126403178035488</c:v>
                </c:pt>
                <c:pt idx="28">
                  <c:v>5.7245051645921574</c:v>
                </c:pt>
                <c:pt idx="29">
                  <c:v>5.1883021824818965</c:v>
                </c:pt>
                <c:pt idx="30">
                  <c:v>4.6999803969256719</c:v>
                </c:pt>
                <c:pt idx="31">
                  <c:v>4.2557018490265097</c:v>
                </c:pt>
                <c:pt idx="32">
                  <c:v>3.8518522195327352</c:v>
                </c:pt>
                <c:pt idx="33">
                  <c:v>3.4247504795961863</c:v>
                </c:pt>
                <c:pt idx="34">
                  <c:v>3.1032645443255618</c:v>
                </c:pt>
                <c:pt idx="35">
                  <c:v>2.8111425927999365</c:v>
                </c:pt>
                <c:pt idx="36">
                  <c:v>2.5458521656423727</c:v>
                </c:pt>
                <c:pt idx="37">
                  <c:v>2.3050513177393235</c:v>
                </c:pt>
                <c:pt idx="38">
                  <c:v>2.0865797026269095</c:v>
                </c:pt>
                <c:pt idx="39">
                  <c:v>1.8884488926355394</c:v>
                </c:pt>
                <c:pt idx="40">
                  <c:v>1.7088322770717757</c:v>
                </c:pt>
                <c:pt idx="41">
                  <c:v>1.5460548060016837</c:v>
                </c:pt>
                <c:pt idx="42">
                  <c:v>1.3985827854302162</c:v>
                </c:pt>
                <c:pt idx="43">
                  <c:v>1.2650138790174896</c:v>
                </c:pt>
                <c:pt idx="44">
                  <c:v>1.1440674302734231</c:v>
                </c:pt>
                <c:pt idx="45">
                  <c:v>1.0345751859594174</c:v>
                </c:pt>
                <c:pt idx="46">
                  <c:v>0.93547247488173257</c:v>
                </c:pt>
                <c:pt idx="47">
                  <c:v>0.84578987527627636</c:v>
                </c:pt>
                <c:pt idx="48">
                  <c:v>0.76464538757722944</c:v>
                </c:pt>
                <c:pt idx="49">
                  <c:v>0.69123711671148502</c:v>
                </c:pt>
              </c:numCache>
            </c:numRef>
          </c:yVal>
          <c:smooth val="1"/>
        </c:ser>
        <c:dLbls>
          <c:showLegendKey val="0"/>
          <c:showVal val="0"/>
          <c:showCatName val="0"/>
          <c:showSerName val="0"/>
          <c:showPercent val="0"/>
          <c:showBubbleSize val="0"/>
        </c:dLbls>
        <c:axId val="276277360"/>
        <c:axId val="276277920"/>
      </c:scatterChart>
      <c:valAx>
        <c:axId val="276277360"/>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6277920"/>
        <c:crosses val="autoZero"/>
        <c:crossBetween val="midCat"/>
        <c:majorUnit val="10"/>
      </c:valAx>
      <c:valAx>
        <c:axId val="2762779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62773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ysClr val="windowText" lastClr="000000"/>
                </a:solidFill>
                <a:latin typeface="Arial" panose="020B0604020202020204" pitchFamily="34" charset="0"/>
                <a:cs typeface="Arial" panose="020B0604020202020204" pitchFamily="34" charset="0"/>
              </a:rPr>
              <a:t>Horizon Age</a:t>
            </a:r>
          </a:p>
        </c:rich>
      </c:tx>
      <c:layout>
        <c:manualLayout>
          <c:xMode val="edge"/>
          <c:yMode val="edge"/>
          <c:x val="0.4080495735478995"/>
          <c:y val="1.30015726185816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736206469627389"/>
          <c:y val="0.12481178594620825"/>
          <c:w val="0.71268440193839089"/>
          <c:h val="0.67187841842350349"/>
        </c:manualLayout>
      </c:layout>
      <c:scatterChart>
        <c:scatterStyle val="smoothMarker"/>
        <c:varyColors val="0"/>
        <c:ser>
          <c:idx val="7"/>
          <c:order val="0"/>
          <c:tx>
            <c:strRef>
              <c:f>user_interface!$O$1</c:f>
              <c:strCache>
                <c:ptCount val="1"/>
              </c:strCache>
            </c:strRef>
          </c:tx>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outputs!$D$2:$D$150</c:f>
              <c:numCache>
                <c:formatCode>General</c:formatCode>
                <c:ptCount val="149"/>
                <c:pt idx="0" formatCode="0.0">
                  <c:v>0</c:v>
                </c:pt>
                <c:pt idx="1">
                  <c:v>11.100000000000001</c:v>
                </c:pt>
                <c:pt idx="2">
                  <c:v>20.900000000000002</c:v>
                </c:pt>
                <c:pt idx="3">
                  <c:v>29.900000000000002</c:v>
                </c:pt>
                <c:pt idx="4">
                  <c:v>38.300000000000004</c:v>
                </c:pt>
                <c:pt idx="5">
                  <c:v>46.2</c:v>
                </c:pt>
                <c:pt idx="6">
                  <c:v>53.7</c:v>
                </c:pt>
                <c:pt idx="7">
                  <c:v>60.900000000000006</c:v>
                </c:pt>
                <c:pt idx="8">
                  <c:v>67.900000000000006</c:v>
                </c:pt>
                <c:pt idx="9">
                  <c:v>74.600000000000009</c:v>
                </c:pt>
                <c:pt idx="10">
                  <c:v>81.2</c:v>
                </c:pt>
                <c:pt idx="11">
                  <c:v>87.600000000000009</c:v>
                </c:pt>
                <c:pt idx="12">
                  <c:v>93.9</c:v>
                </c:pt>
                <c:pt idx="13">
                  <c:v>100.10000000000001</c:v>
                </c:pt>
                <c:pt idx="14">
                  <c:v>106.2</c:v>
                </c:pt>
                <c:pt idx="15">
                  <c:v>112.2</c:v>
                </c:pt>
                <c:pt idx="16">
                  <c:v>118.10000000000001</c:v>
                </c:pt>
                <c:pt idx="17">
                  <c:v>124</c:v>
                </c:pt>
                <c:pt idx="18">
                  <c:v>129.80000000000001</c:v>
                </c:pt>
                <c:pt idx="19">
                  <c:v>135.6</c:v>
                </c:pt>
                <c:pt idx="20">
                  <c:v>141.30000000000001</c:v>
                </c:pt>
                <c:pt idx="21">
                  <c:v>147</c:v>
                </c:pt>
                <c:pt idx="22">
                  <c:v>152.70000000000002</c:v>
                </c:pt>
                <c:pt idx="23">
                  <c:v>158.30000000000001</c:v>
                </c:pt>
                <c:pt idx="24">
                  <c:v>163.9</c:v>
                </c:pt>
                <c:pt idx="25">
                  <c:v>169.5</c:v>
                </c:pt>
                <c:pt idx="26">
                  <c:v>175.10000000000002</c:v>
                </c:pt>
                <c:pt idx="27">
                  <c:v>180.60000000000002</c:v>
                </c:pt>
                <c:pt idx="28">
                  <c:v>186.10000000000002</c:v>
                </c:pt>
                <c:pt idx="29">
                  <c:v>191.60000000000002</c:v>
                </c:pt>
                <c:pt idx="30">
                  <c:v>197.10000000000002</c:v>
                </c:pt>
                <c:pt idx="31">
                  <c:v>202.60000000000002</c:v>
                </c:pt>
                <c:pt idx="32">
                  <c:v>208.10000000000002</c:v>
                </c:pt>
                <c:pt idx="33">
                  <c:v>213.60000000000002</c:v>
                </c:pt>
                <c:pt idx="34">
                  <c:v>219</c:v>
                </c:pt>
                <c:pt idx="35">
                  <c:v>224.4</c:v>
                </c:pt>
                <c:pt idx="36">
                  <c:v>229.8</c:v>
                </c:pt>
                <c:pt idx="37">
                  <c:v>235.20000000000002</c:v>
                </c:pt>
                <c:pt idx="38">
                  <c:v>240.60000000000002</c:v>
                </c:pt>
                <c:pt idx="39">
                  <c:v>246</c:v>
                </c:pt>
                <c:pt idx="40">
                  <c:v>251.4</c:v>
                </c:pt>
                <c:pt idx="41">
                  <c:v>256.8</c:v>
                </c:pt>
                <c:pt idx="42">
                  <c:v>262.2</c:v>
                </c:pt>
                <c:pt idx="43">
                  <c:v>267.60000000000002</c:v>
                </c:pt>
                <c:pt idx="44">
                  <c:v>273</c:v>
                </c:pt>
                <c:pt idx="45">
                  <c:v>278.40000000000003</c:v>
                </c:pt>
                <c:pt idx="46">
                  <c:v>283.8</c:v>
                </c:pt>
                <c:pt idx="47">
                  <c:v>289.2</c:v>
                </c:pt>
                <c:pt idx="48">
                  <c:v>294.60000000000002</c:v>
                </c:pt>
                <c:pt idx="49">
                  <c:v>300</c:v>
                </c:pt>
                <c:pt idx="50">
                  <c:v>305.40000000000003</c:v>
                </c:pt>
                <c:pt idx="51">
                  <c:v>310.8</c:v>
                </c:pt>
                <c:pt idx="52">
                  <c:v>316.20000000000005</c:v>
                </c:pt>
                <c:pt idx="53">
                  <c:v>321.60000000000002</c:v>
                </c:pt>
                <c:pt idx="54">
                  <c:v>327</c:v>
                </c:pt>
                <c:pt idx="55">
                  <c:v>332.40000000000003</c:v>
                </c:pt>
                <c:pt idx="56">
                  <c:v>337.8</c:v>
                </c:pt>
                <c:pt idx="57">
                  <c:v>343.20000000000005</c:v>
                </c:pt>
                <c:pt idx="58">
                  <c:v>348.6</c:v>
                </c:pt>
                <c:pt idx="59">
                  <c:v>354</c:v>
                </c:pt>
                <c:pt idx="60">
                  <c:v>359.40000000000003</c:v>
                </c:pt>
                <c:pt idx="61">
                  <c:v>364.8</c:v>
                </c:pt>
                <c:pt idx="62">
                  <c:v>370.20000000000005</c:v>
                </c:pt>
                <c:pt idx="63">
                  <c:v>375.6</c:v>
                </c:pt>
                <c:pt idx="64">
                  <c:v>381</c:v>
                </c:pt>
                <c:pt idx="65">
                  <c:v>386.40000000000003</c:v>
                </c:pt>
                <c:pt idx="66">
                  <c:v>391.8</c:v>
                </c:pt>
                <c:pt idx="67">
                  <c:v>397.20000000000005</c:v>
                </c:pt>
                <c:pt idx="68">
                  <c:v>402.6</c:v>
                </c:pt>
                <c:pt idx="69">
                  <c:v>408</c:v>
                </c:pt>
                <c:pt idx="70">
                  <c:v>413.40000000000003</c:v>
                </c:pt>
                <c:pt idx="71">
                  <c:v>418.8</c:v>
                </c:pt>
                <c:pt idx="72">
                  <c:v>424.20000000000005</c:v>
                </c:pt>
                <c:pt idx="73">
                  <c:v>429.6</c:v>
                </c:pt>
                <c:pt idx="74">
                  <c:v>435</c:v>
                </c:pt>
                <c:pt idx="75">
                  <c:v>440.40000000000003</c:v>
                </c:pt>
                <c:pt idx="76">
                  <c:v>445.8</c:v>
                </c:pt>
                <c:pt idx="77">
                  <c:v>451.20000000000005</c:v>
                </c:pt>
                <c:pt idx="78">
                  <c:v>456.6</c:v>
                </c:pt>
                <c:pt idx="79">
                  <c:v>462</c:v>
                </c:pt>
                <c:pt idx="80">
                  <c:v>467.40000000000003</c:v>
                </c:pt>
                <c:pt idx="81">
                  <c:v>472.8</c:v>
                </c:pt>
                <c:pt idx="82">
                  <c:v>478.20000000000005</c:v>
                </c:pt>
                <c:pt idx="83">
                  <c:v>483.6</c:v>
                </c:pt>
                <c:pt idx="84">
                  <c:v>489</c:v>
                </c:pt>
                <c:pt idx="85">
                  <c:v>494.40000000000003</c:v>
                </c:pt>
                <c:pt idx="86">
                  <c:v>499.8</c:v>
                </c:pt>
                <c:pt idx="87">
                  <c:v>505.20000000000005</c:v>
                </c:pt>
                <c:pt idx="88">
                  <c:v>510.6</c:v>
                </c:pt>
                <c:pt idx="89">
                  <c:v>516</c:v>
                </c:pt>
                <c:pt idx="90">
                  <c:v>521.4</c:v>
                </c:pt>
                <c:pt idx="91">
                  <c:v>526.80000000000007</c:v>
                </c:pt>
                <c:pt idx="92">
                  <c:v>532.20000000000005</c:v>
                </c:pt>
                <c:pt idx="93">
                  <c:v>537.6</c:v>
                </c:pt>
                <c:pt idx="94">
                  <c:v>543</c:v>
                </c:pt>
                <c:pt idx="95">
                  <c:v>548.4</c:v>
                </c:pt>
                <c:pt idx="96">
                  <c:v>553.80000000000007</c:v>
                </c:pt>
                <c:pt idx="97">
                  <c:v>559.20000000000005</c:v>
                </c:pt>
                <c:pt idx="98">
                  <c:v>564.6</c:v>
                </c:pt>
                <c:pt idx="99">
                  <c:v>570</c:v>
                </c:pt>
                <c:pt idx="100">
                  <c:v>575.4</c:v>
                </c:pt>
                <c:pt idx="101">
                  <c:v>580.80000000000007</c:v>
                </c:pt>
                <c:pt idx="102">
                  <c:v>586.20000000000005</c:v>
                </c:pt>
                <c:pt idx="103">
                  <c:v>591.6</c:v>
                </c:pt>
                <c:pt idx="104">
                  <c:v>597</c:v>
                </c:pt>
              </c:numCache>
            </c:numRef>
          </c:yVal>
          <c:smooth val="1"/>
        </c:ser>
        <c:dLbls>
          <c:showLegendKey val="0"/>
          <c:showVal val="0"/>
          <c:showCatName val="0"/>
          <c:showSerName val="0"/>
          <c:showPercent val="0"/>
          <c:showBubbleSize val="0"/>
        </c:dLbls>
        <c:axId val="276280160"/>
        <c:axId val="276280720"/>
      </c:scatterChart>
      <c:valAx>
        <c:axId val="276280160"/>
        <c:scaling>
          <c:orientation val="minMax"/>
          <c:max val="8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6280720"/>
        <c:crosses val="autoZero"/>
        <c:crossBetween val="midCat"/>
        <c:majorUnit val="10"/>
      </c:valAx>
      <c:valAx>
        <c:axId val="2762807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628016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OM concentration</a:t>
            </a:r>
            <a:r>
              <a:rPr lang="en-US" baseline="0">
                <a:solidFill>
                  <a:sysClr val="windowText" lastClr="000000"/>
                </a:solidFill>
              </a:rPr>
              <a:t> (% of dry wt</a:t>
            </a:r>
            <a:r>
              <a:rPr lang="en-US" baseline="0"/>
              <a:t>)</a:t>
            </a:r>
            <a:endParaRPr lang="en-US"/>
          </a:p>
        </c:rich>
      </c:tx>
      <c:layout>
        <c:manualLayout>
          <c:xMode val="edge"/>
          <c:yMode val="edge"/>
          <c:x val="0.25241742509847365"/>
          <c:y val="4.63912613076623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73846450809"/>
          <c:y val="0.15952688172043011"/>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outputs!$L$3:$L$52</c:f>
              <c:numCache>
                <c:formatCode>General</c:formatCode>
                <c:ptCount val="50"/>
                <c:pt idx="0">
                  <c:v>98.39206800185157</c:v>
                </c:pt>
                <c:pt idx="1">
                  <c:v>98.422550878019223</c:v>
                </c:pt>
                <c:pt idx="2">
                  <c:v>98.405314203318653</c:v>
                </c:pt>
                <c:pt idx="3">
                  <c:v>98.360415607372175</c:v>
                </c:pt>
                <c:pt idx="4">
                  <c:v>98.292900028791522</c:v>
                </c:pt>
                <c:pt idx="5">
                  <c:v>98.205623243654159</c:v>
                </c:pt>
                <c:pt idx="6">
                  <c:v>98.099761270879384</c:v>
                </c:pt>
                <c:pt idx="7">
                  <c:v>97.975030691369497</c:v>
                </c:pt>
                <c:pt idx="8">
                  <c:v>97.832000980529415</c:v>
                </c:pt>
                <c:pt idx="9">
                  <c:v>97.669863238616529</c:v>
                </c:pt>
                <c:pt idx="10">
                  <c:v>97.487091367582551</c:v>
                </c:pt>
                <c:pt idx="11">
                  <c:v>97.283069251374826</c:v>
                </c:pt>
                <c:pt idx="12">
                  <c:v>97.055226375708344</c:v>
                </c:pt>
                <c:pt idx="13">
                  <c:v>96.802230233259337</c:v>
                </c:pt>
                <c:pt idx="14">
                  <c:v>96.522697171482008</c:v>
                </c:pt>
                <c:pt idx="15">
                  <c:v>96.215216168309027</c:v>
                </c:pt>
                <c:pt idx="16">
                  <c:v>95.875371615949177</c:v>
                </c:pt>
                <c:pt idx="17">
                  <c:v>95.500713861596779</c:v>
                </c:pt>
                <c:pt idx="18">
                  <c:v>95.08882485275079</c:v>
                </c:pt>
                <c:pt idx="19">
                  <c:v>94.637038327400674</c:v>
                </c:pt>
                <c:pt idx="20">
                  <c:v>94.142808712392693</c:v>
                </c:pt>
                <c:pt idx="21">
                  <c:v>93.598398244544313</c:v>
                </c:pt>
                <c:pt idx="22">
                  <c:v>93.005059583170919</c:v>
                </c:pt>
                <c:pt idx="23">
                  <c:v>92.360163333706225</c:v>
                </c:pt>
                <c:pt idx="24">
                  <c:v>91.654339760605225</c:v>
                </c:pt>
                <c:pt idx="25">
                  <c:v>90.88318305163908</c:v>
                </c:pt>
                <c:pt idx="26">
                  <c:v>90.049933054340968</c:v>
                </c:pt>
                <c:pt idx="27">
                  <c:v>89.152365219250356</c:v>
                </c:pt>
                <c:pt idx="28">
                  <c:v>88.178996293293878</c:v>
                </c:pt>
                <c:pt idx="29">
                  <c:v>87.125781997303733</c:v>
                </c:pt>
                <c:pt idx="30">
                  <c:v>85.98890757386836</c:v>
                </c:pt>
                <c:pt idx="31">
                  <c:v>84.764890233056718</c:v>
                </c:pt>
                <c:pt idx="32">
                  <c:v>83.450692446200733</c:v>
                </c:pt>
                <c:pt idx="33">
                  <c:v>82.056845565742975</c:v>
                </c:pt>
                <c:pt idx="34">
                  <c:v>80.584552011054868</c:v>
                </c:pt>
                <c:pt idx="35">
                  <c:v>79.020334701696882</c:v>
                </c:pt>
                <c:pt idx="36">
                  <c:v>77.36416758504636</c:v>
                </c:pt>
                <c:pt idx="37">
                  <c:v>75.617020900817067</c:v>
                </c:pt>
                <c:pt idx="38">
                  <c:v>73.780959453953201</c:v>
                </c:pt>
                <c:pt idx="39">
                  <c:v>71.859222256234872</c:v>
                </c:pt>
                <c:pt idx="40">
                  <c:v>69.856277394629302</c:v>
                </c:pt>
                <c:pt idx="41">
                  <c:v>67.777846337365531</c:v>
                </c:pt>
                <c:pt idx="42">
                  <c:v>65.630892728717768</c:v>
                </c:pt>
                <c:pt idx="43">
                  <c:v>63.423572068010216</c:v>
                </c:pt>
                <c:pt idx="44">
                  <c:v>61.165140481105915</c:v>
                </c:pt>
                <c:pt idx="45">
                  <c:v>58.865822977404633</c:v>
                </c:pt>
                <c:pt idx="46">
                  <c:v>56.536643987317085</c:v>
                </c:pt>
                <c:pt idx="47">
                  <c:v>54.189225393632661</c:v>
                </c:pt>
                <c:pt idx="48">
                  <c:v>51.835559478988181</c:v>
                </c:pt>
                <c:pt idx="49">
                  <c:v>49.487765988059643</c:v>
                </c:pt>
              </c:numCache>
            </c:numRef>
          </c:yVal>
          <c:smooth val="1"/>
        </c:ser>
        <c:dLbls>
          <c:showLegendKey val="0"/>
          <c:showVal val="0"/>
          <c:showCatName val="0"/>
          <c:showSerName val="0"/>
          <c:showPercent val="0"/>
          <c:showBubbleSize val="0"/>
        </c:dLbls>
        <c:axId val="273727216"/>
        <c:axId val="767409248"/>
      </c:scatterChart>
      <c:valAx>
        <c:axId val="273727216"/>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67409248"/>
        <c:crosses val="autoZero"/>
        <c:crossBetween val="midCat"/>
        <c:majorUnit val="10"/>
      </c:valAx>
      <c:valAx>
        <c:axId val="7674092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27372721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rgbClr val="C00000"/>
                </a:solidFill>
                <a:latin typeface="Arial" panose="020B0604020202020204" pitchFamily="34" charset="0"/>
                <a:cs typeface="Arial" panose="020B0604020202020204" pitchFamily="34" charset="0"/>
              </a:rPr>
              <a:t>●</a:t>
            </a:r>
            <a:r>
              <a:rPr lang="en-US">
                <a:solidFill>
                  <a:sysClr val="windowText" lastClr="000000"/>
                </a:solidFill>
                <a:latin typeface="Arial" panose="020B0604020202020204" pitchFamily="34" charset="0"/>
                <a:cs typeface="Arial" panose="020B0604020202020204" pitchFamily="34" charset="0"/>
              </a:rPr>
              <a:t>Refractory</a:t>
            </a:r>
            <a:r>
              <a:rPr lang="en-US" baseline="0">
                <a:solidFill>
                  <a:sysClr val="windowText" lastClr="000000"/>
                </a:solidFill>
                <a:latin typeface="Arial" panose="020B0604020202020204" pitchFamily="34" charset="0"/>
                <a:cs typeface="Arial" panose="020B0604020202020204" pitchFamily="34" charset="0"/>
              </a:rPr>
              <a:t> OM</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9480264718894894"/>
          <c:y val="0.2147561130875850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001635596166485"/>
          <c:y val="0.15952688172043011"/>
          <c:w val="0.74672789132716744"/>
          <c:h val="0.67187841842350349"/>
        </c:manualLayout>
      </c:layout>
      <c:scatterChart>
        <c:scatterStyle val="smoothMarker"/>
        <c:varyColors val="0"/>
        <c:ser>
          <c:idx val="2"/>
          <c:order val="0"/>
          <c:spPr>
            <a:ln w="19050" cap="rnd">
              <a:solidFill>
                <a:schemeClr val="accent3"/>
              </a:solidFill>
              <a:round/>
            </a:ln>
            <a:effectLst/>
          </c:spPr>
          <c:marker>
            <c:symbol val="circle"/>
            <c:size val="5"/>
            <c:spPr>
              <a:solidFill>
                <a:schemeClr val="accent3"/>
              </a:solidFill>
              <a:ln w="9525">
                <a:solidFill>
                  <a:schemeClr val="tx2"/>
                </a:solidFill>
              </a:ln>
              <a:effectLst/>
            </c:spPr>
          </c:marker>
          <c:xVal>
            <c:numRef>
              <c:f>outputs!$A$3:$A$47</c:f>
              <c:numCache>
                <c:formatCode>General</c:formatCode>
                <c:ptCount val="45"/>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pt idx="28">
                  <c:v>29.232878201735296</c:v>
                </c:pt>
                <c:pt idx="29">
                  <c:v>30.244838913741226</c:v>
                </c:pt>
                <c:pt idx="30">
                  <c:v>31.259149370866261</c:v>
                </c:pt>
                <c:pt idx="31">
                  <c:v>32.275584387507791</c:v>
                </c:pt>
                <c:pt idx="32">
                  <c:v>33.293939840142436</c:v>
                </c:pt>
                <c:pt idx="33">
                  <c:v>34.29546920864879</c:v>
                </c:pt>
                <c:pt idx="34">
                  <c:v>35.298512858313536</c:v>
                </c:pt>
                <c:pt idx="35">
                  <c:v>36.302926935574398</c:v>
                </c:pt>
                <c:pt idx="36">
                  <c:v>37.308581039515758</c:v>
                </c:pt>
                <c:pt idx="37">
                  <c:v>38.315357003265476</c:v>
                </c:pt>
                <c:pt idx="38">
                  <c:v>39.323147778399473</c:v>
                </c:pt>
                <c:pt idx="39">
                  <c:v>40.331856415062909</c:v>
                </c:pt>
                <c:pt idx="40">
                  <c:v>41.341395130744516</c:v>
                </c:pt>
                <c:pt idx="41">
                  <c:v>42.351684460930038</c:v>
                </c:pt>
                <c:pt idx="42">
                  <c:v>43.362652485192577</c:v>
                </c:pt>
                <c:pt idx="43">
                  <c:v>44.374234122635265</c:v>
                </c:pt>
                <c:pt idx="44">
                  <c:v>45.386370490970762</c:v>
                </c:pt>
              </c:numCache>
            </c:numRef>
          </c:xVal>
          <c:yVal>
            <c:numRef>
              <c:f>outputs!$G$3:$G$47</c:f>
              <c:numCache>
                <c:formatCode>General</c:formatCode>
                <c:ptCount val="45"/>
                <c:pt idx="0">
                  <c:v>53.032463781045529</c:v>
                </c:pt>
                <c:pt idx="1">
                  <c:v>136.31822337219481</c:v>
                </c:pt>
                <c:pt idx="2">
                  <c:v>199.20721984464609</c:v>
                </c:pt>
                <c:pt idx="3">
                  <c:v>248.59582110960895</c:v>
                </c:pt>
                <c:pt idx="4">
                  <c:v>287.11330069189455</c:v>
                </c:pt>
                <c:pt idx="5">
                  <c:v>318.23672236627004</c:v>
                </c:pt>
                <c:pt idx="6">
                  <c:v>345.11473116497706</c:v>
                </c:pt>
                <c:pt idx="7">
                  <c:v>370.4923590062528</c:v>
                </c:pt>
                <c:pt idx="8">
                  <c:v>384.79640977988652</c:v>
                </c:pt>
                <c:pt idx="9">
                  <c:v>405.90803809792772</c:v>
                </c:pt>
                <c:pt idx="10">
                  <c:v>417.20574808196699</c:v>
                </c:pt>
                <c:pt idx="11">
                  <c:v>431.65431395807826</c:v>
                </c:pt>
                <c:pt idx="12">
                  <c:v>443.51823165914504</c:v>
                </c:pt>
                <c:pt idx="13">
                  <c:v>453.0207980268317</c:v>
                </c:pt>
                <c:pt idx="14">
                  <c:v>460.38104346337184</c:v>
                </c:pt>
                <c:pt idx="15">
                  <c:v>465.80894250766266</c:v>
                </c:pt>
                <c:pt idx="16">
                  <c:v>477.69194917600277</c:v>
                </c:pt>
                <c:pt idx="17">
                  <c:v>480.1772330309476</c:v>
                </c:pt>
                <c:pt idx="18">
                  <c:v>489.74779440122165</c:v>
                </c:pt>
                <c:pt idx="19">
                  <c:v>489.80387362601812</c:v>
                </c:pt>
                <c:pt idx="20">
                  <c:v>497.47694860854494</c:v>
                </c:pt>
                <c:pt idx="21">
                  <c:v>504.45835009883098</c:v>
                </c:pt>
                <c:pt idx="22">
                  <c:v>501.78967466805022</c:v>
                </c:pt>
                <c:pt idx="23">
                  <c:v>507.35703651901991</c:v>
                </c:pt>
                <c:pt idx="24">
                  <c:v>512.41392788776477</c:v>
                </c:pt>
                <c:pt idx="25">
                  <c:v>517.00301096830037</c:v>
                </c:pt>
                <c:pt idx="26">
                  <c:v>511.82349281047516</c:v>
                </c:pt>
                <c:pt idx="27">
                  <c:v>515.46673399523627</c:v>
                </c:pt>
                <c:pt idx="28">
                  <c:v>518.77153191077127</c:v>
                </c:pt>
                <c:pt idx="29">
                  <c:v>521.76758708359534</c:v>
                </c:pt>
                <c:pt idx="30">
                  <c:v>524.48231843984149</c:v>
                </c:pt>
                <c:pt idx="31">
                  <c:v>526.94097588517991</c:v>
                </c:pt>
                <c:pt idx="32">
                  <c:v>529.16676074988447</c:v>
                </c:pt>
                <c:pt idx="33">
                  <c:v>521.50629741564228</c:v>
                </c:pt>
                <c:pt idx="34">
                  <c:v>523.26587316291943</c:v>
                </c:pt>
                <c:pt idx="35">
                  <c:v>524.86003997447358</c:v>
                </c:pt>
                <c:pt idx="36">
                  <c:v>526.30394920632216</c:v>
                </c:pt>
                <c:pt idx="37">
                  <c:v>527.61143745935067</c:v>
                </c:pt>
                <c:pt idx="38">
                  <c:v>528.79512704764738</c:v>
                </c:pt>
                <c:pt idx="39">
                  <c:v>529.86652142517755</c:v>
                </c:pt>
                <c:pt idx="40">
                  <c:v>530.83609525585541</c:v>
                </c:pt>
                <c:pt idx="41">
                  <c:v>531.71337897575165</c:v>
                </c:pt>
                <c:pt idx="42">
                  <c:v>532.5070378231311</c:v>
                </c:pt>
                <c:pt idx="43">
                  <c:v>533.22494540877801</c:v>
                </c:pt>
                <c:pt idx="44">
                  <c:v>533.87425197110838</c:v>
                </c:pt>
              </c:numCache>
            </c:numRef>
          </c:yVal>
          <c:smooth val="1"/>
        </c:ser>
        <c:ser>
          <c:idx val="0"/>
          <c:order val="1"/>
          <c:spPr>
            <a:ln w="19050" cap="rnd">
              <a:solidFill>
                <a:schemeClr val="accent6">
                  <a:lumMod val="75000"/>
                </a:schemeClr>
              </a:solidFill>
              <a:round/>
            </a:ln>
            <a:effectLst/>
          </c:spPr>
          <c:marker>
            <c:symbol val="circle"/>
            <c:size val="5"/>
            <c:spPr>
              <a:solidFill>
                <a:schemeClr val="bg1"/>
              </a:solidFill>
              <a:ln w="9525">
                <a:solidFill>
                  <a:schemeClr val="accent6">
                    <a:lumMod val="75000"/>
                  </a:schemeClr>
                </a:solidFill>
              </a:ln>
              <a:effectLst/>
            </c:spPr>
          </c:marker>
          <c:xVal>
            <c:numRef>
              <c:f>outputs!$A$3:$A$47</c:f>
              <c:numCache>
                <c:formatCode>General</c:formatCode>
                <c:ptCount val="45"/>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pt idx="28">
                  <c:v>29.232878201735296</c:v>
                </c:pt>
                <c:pt idx="29">
                  <c:v>30.244838913741226</c:v>
                </c:pt>
                <c:pt idx="30">
                  <c:v>31.259149370866261</c:v>
                </c:pt>
                <c:pt idx="31">
                  <c:v>32.275584387507791</c:v>
                </c:pt>
                <c:pt idx="32">
                  <c:v>33.293939840142436</c:v>
                </c:pt>
                <c:pt idx="33">
                  <c:v>34.29546920864879</c:v>
                </c:pt>
                <c:pt idx="34">
                  <c:v>35.298512858313536</c:v>
                </c:pt>
                <c:pt idx="35">
                  <c:v>36.302926935574398</c:v>
                </c:pt>
                <c:pt idx="36">
                  <c:v>37.308581039515758</c:v>
                </c:pt>
                <c:pt idx="37">
                  <c:v>38.315357003265476</c:v>
                </c:pt>
                <c:pt idx="38">
                  <c:v>39.323147778399473</c:v>
                </c:pt>
                <c:pt idx="39">
                  <c:v>40.331856415062909</c:v>
                </c:pt>
                <c:pt idx="40">
                  <c:v>41.341395130744516</c:v>
                </c:pt>
                <c:pt idx="41">
                  <c:v>42.351684460930038</c:v>
                </c:pt>
                <c:pt idx="42">
                  <c:v>43.362652485192577</c:v>
                </c:pt>
                <c:pt idx="43">
                  <c:v>44.374234122635265</c:v>
                </c:pt>
                <c:pt idx="44">
                  <c:v>45.386370490970762</c:v>
                </c:pt>
              </c:numCache>
            </c:numRef>
          </c:xVal>
          <c:yVal>
            <c:numRef>
              <c:f>outputs!$F$3:$F$52</c:f>
              <c:numCache>
                <c:formatCode>General</c:formatCode>
                <c:ptCount val="50"/>
                <c:pt idx="0">
                  <c:v>39.355779020774214</c:v>
                </c:pt>
                <c:pt idx="1">
                  <c:v>39.580639499413884</c:v>
                </c:pt>
                <c:pt idx="2">
                  <c:v>36.040512258467786</c:v>
                </c:pt>
                <c:pt idx="3">
                  <c:v>32.772224610042379</c:v>
                </c:pt>
                <c:pt idx="4">
                  <c:v>29.637295142106755</c:v>
                </c:pt>
                <c:pt idx="5">
                  <c:v>26.787344805732538</c:v>
                </c:pt>
                <c:pt idx="6">
                  <c:v>24.290743877134368</c:v>
                </c:pt>
                <c:pt idx="7">
                  <c:v>22.159841962747041</c:v>
                </c:pt>
                <c:pt idx="8">
                  <c:v>19.802424483896516</c:v>
                </c:pt>
                <c:pt idx="9">
                  <c:v>18.135554826388585</c:v>
                </c:pt>
                <c:pt idx="10">
                  <c:v>16.288781110555046</c:v>
                </c:pt>
                <c:pt idx="11">
                  <c:v>14.808687636229527</c:v>
                </c:pt>
                <c:pt idx="12">
                  <c:v>13.421775469417362</c:v>
                </c:pt>
                <c:pt idx="13">
                  <c:v>12.134199025006023</c:v>
                </c:pt>
                <c:pt idx="14">
                  <c:v>10.947976732963815</c:v>
                </c:pt>
                <c:pt idx="15">
                  <c:v>9.8620276489741308</c:v>
                </c:pt>
                <c:pt idx="16">
                  <c:v>9.0191917186491413</c:v>
                </c:pt>
                <c:pt idx="17">
                  <c:v>8.0971742962257096</c:v>
                </c:pt>
                <c:pt idx="18">
                  <c:v>7.3863804280982785</c:v>
                </c:pt>
                <c:pt idx="19">
                  <c:v>6.6157145512806563</c:v>
                </c:pt>
                <c:pt idx="20">
                  <c:v>6.0252189265534932</c:v>
                </c:pt>
                <c:pt idx="21">
                  <c:v>5.4799658872011143</c:v>
                </c:pt>
                <c:pt idx="22">
                  <c:v>4.8946888849937427</c:v>
                </c:pt>
                <c:pt idx="23">
                  <c:v>4.4489975802404196</c:v>
                </c:pt>
                <c:pt idx="24">
                  <c:v>4.0399703551244164</c:v>
                </c:pt>
                <c:pt idx="25">
                  <c:v>3.6653352148804186</c:v>
                </c:pt>
                <c:pt idx="26">
                  <c:v>3.26630176608445</c:v>
                </c:pt>
                <c:pt idx="27">
                  <c:v>2.9642119074265549</c:v>
                </c:pt>
                <c:pt idx="28">
                  <c:v>2.6883839462567485</c:v>
                </c:pt>
                <c:pt idx="29">
                  <c:v>2.4368480391878049</c:v>
                </c:pt>
                <c:pt idx="30">
                  <c:v>2.2077214422391589</c:v>
                </c:pt>
                <c:pt idx="31">
                  <c:v>1.9992178541614893</c:v>
                </c:pt>
                <c:pt idx="32">
                  <c:v>1.8096530061711331</c:v>
                </c:pt>
                <c:pt idx="33">
                  <c:v>1.6091167633579146</c:v>
                </c:pt>
                <c:pt idx="34">
                  <c:v>1.4581658264638269</c:v>
                </c:pt>
                <c:pt idx="35">
                  <c:v>1.3209843418513845</c:v>
                </c:pt>
                <c:pt idx="36">
                  <c:v>1.1963881552833684</c:v>
                </c:pt>
                <c:pt idx="37">
                  <c:v>1.083281542566068</c:v>
                </c:pt>
                <c:pt idx="38">
                  <c:v>0.98065321288359864</c:v>
                </c:pt>
                <c:pt idx="39">
                  <c:v>0.88757192083798686</c:v>
                </c:pt>
                <c:pt idx="40">
                  <c:v>0.80318185300733447</c:v>
                </c:pt>
                <c:pt idx="41">
                  <c:v>0.72669791905707481</c:v>
                </c:pt>
                <c:pt idx="42">
                  <c:v>0.65740104780669495</c:v>
                </c:pt>
                <c:pt idx="43">
                  <c:v>0.59463356430845693</c:v>
                </c:pt>
                <c:pt idx="44">
                  <c:v>0.53779470416006581</c:v>
                </c:pt>
                <c:pt idx="45">
                  <c:v>0.48633630524602273</c:v>
                </c:pt>
                <c:pt idx="46">
                  <c:v>0.43975870427378022</c:v>
                </c:pt>
                <c:pt idx="47">
                  <c:v>0.39760685529829254</c:v>
                </c:pt>
                <c:pt idx="48">
                  <c:v>0.35946667945763261</c:v>
                </c:pt>
                <c:pt idx="49">
                  <c:v>0.32496164897444807</c:v>
                </c:pt>
              </c:numCache>
            </c:numRef>
          </c:yVal>
          <c:smooth val="1"/>
        </c:ser>
        <c:ser>
          <c:idx val="1"/>
          <c:order val="2"/>
          <c:spPr>
            <a:ln w="19050" cap="rnd">
              <a:solidFill>
                <a:schemeClr val="accent2"/>
              </a:solidFill>
              <a:round/>
            </a:ln>
            <a:effectLst/>
          </c:spPr>
          <c:marker>
            <c:symbol val="circle"/>
            <c:size val="5"/>
            <c:spPr>
              <a:solidFill>
                <a:schemeClr val="accent1"/>
              </a:solidFill>
              <a:ln w="9525">
                <a:solidFill>
                  <a:srgbClr val="FF0000"/>
                </a:solidFill>
              </a:ln>
              <a:effectLst/>
            </c:spPr>
          </c:marker>
          <c:xVal>
            <c:numRef>
              <c:f>outputs!$A$3:$A$47</c:f>
              <c:numCache>
                <c:formatCode>General</c:formatCode>
                <c:ptCount val="45"/>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pt idx="28">
                  <c:v>29.232878201735296</c:v>
                </c:pt>
                <c:pt idx="29">
                  <c:v>30.244838913741226</c:v>
                </c:pt>
                <c:pt idx="30">
                  <c:v>31.259149370866261</c:v>
                </c:pt>
                <c:pt idx="31">
                  <c:v>32.275584387507791</c:v>
                </c:pt>
                <c:pt idx="32">
                  <c:v>33.293939840142436</c:v>
                </c:pt>
                <c:pt idx="33">
                  <c:v>34.29546920864879</c:v>
                </c:pt>
                <c:pt idx="34">
                  <c:v>35.298512858313536</c:v>
                </c:pt>
                <c:pt idx="35">
                  <c:v>36.302926935574398</c:v>
                </c:pt>
                <c:pt idx="36">
                  <c:v>37.308581039515758</c:v>
                </c:pt>
                <c:pt idx="37">
                  <c:v>38.315357003265476</c:v>
                </c:pt>
                <c:pt idx="38">
                  <c:v>39.323147778399473</c:v>
                </c:pt>
                <c:pt idx="39">
                  <c:v>40.331856415062909</c:v>
                </c:pt>
                <c:pt idx="40">
                  <c:v>41.341395130744516</c:v>
                </c:pt>
                <c:pt idx="41">
                  <c:v>42.351684460930038</c:v>
                </c:pt>
                <c:pt idx="42">
                  <c:v>43.362652485192577</c:v>
                </c:pt>
                <c:pt idx="43">
                  <c:v>44.374234122635265</c:v>
                </c:pt>
                <c:pt idx="44">
                  <c:v>45.386370490970762</c:v>
                </c:pt>
              </c:numCache>
            </c:numRef>
          </c:xVal>
          <c:yVal>
            <c:numRef>
              <c:f>outputs!$G$3:$G$52</c:f>
              <c:numCache>
                <c:formatCode>General</c:formatCode>
                <c:ptCount val="50"/>
                <c:pt idx="0">
                  <c:v>53.032463781045529</c:v>
                </c:pt>
                <c:pt idx="1">
                  <c:v>136.31822337219481</c:v>
                </c:pt>
                <c:pt idx="2">
                  <c:v>199.20721984464609</c:v>
                </c:pt>
                <c:pt idx="3">
                  <c:v>248.59582110960895</c:v>
                </c:pt>
                <c:pt idx="4">
                  <c:v>287.11330069189455</c:v>
                </c:pt>
                <c:pt idx="5">
                  <c:v>318.23672236627004</c:v>
                </c:pt>
                <c:pt idx="6">
                  <c:v>345.11473116497706</c:v>
                </c:pt>
                <c:pt idx="7">
                  <c:v>370.4923590062528</c:v>
                </c:pt>
                <c:pt idx="8">
                  <c:v>384.79640977988652</c:v>
                </c:pt>
                <c:pt idx="9">
                  <c:v>405.90803809792772</c:v>
                </c:pt>
                <c:pt idx="10">
                  <c:v>417.20574808196699</c:v>
                </c:pt>
                <c:pt idx="11">
                  <c:v>431.65431395807826</c:v>
                </c:pt>
                <c:pt idx="12">
                  <c:v>443.51823165914504</c:v>
                </c:pt>
                <c:pt idx="13">
                  <c:v>453.0207980268317</c:v>
                </c:pt>
                <c:pt idx="14">
                  <c:v>460.38104346337184</c:v>
                </c:pt>
                <c:pt idx="15">
                  <c:v>465.80894250766266</c:v>
                </c:pt>
                <c:pt idx="16">
                  <c:v>477.69194917600277</c:v>
                </c:pt>
                <c:pt idx="17">
                  <c:v>480.1772330309476</c:v>
                </c:pt>
                <c:pt idx="18">
                  <c:v>489.74779440122165</c:v>
                </c:pt>
                <c:pt idx="19">
                  <c:v>489.80387362601812</c:v>
                </c:pt>
                <c:pt idx="20">
                  <c:v>497.47694860854494</c:v>
                </c:pt>
                <c:pt idx="21">
                  <c:v>504.45835009883098</c:v>
                </c:pt>
                <c:pt idx="22">
                  <c:v>501.78967466805022</c:v>
                </c:pt>
                <c:pt idx="23">
                  <c:v>507.35703651901991</c:v>
                </c:pt>
                <c:pt idx="24">
                  <c:v>512.41392788776477</c:v>
                </c:pt>
                <c:pt idx="25">
                  <c:v>517.00301096830037</c:v>
                </c:pt>
                <c:pt idx="26">
                  <c:v>511.82349281047516</c:v>
                </c:pt>
                <c:pt idx="27">
                  <c:v>515.46673399523627</c:v>
                </c:pt>
                <c:pt idx="28">
                  <c:v>518.77153191077127</c:v>
                </c:pt>
                <c:pt idx="29">
                  <c:v>521.76758708359534</c:v>
                </c:pt>
                <c:pt idx="30">
                  <c:v>524.48231843984149</c:v>
                </c:pt>
                <c:pt idx="31">
                  <c:v>526.94097588517991</c:v>
                </c:pt>
                <c:pt idx="32">
                  <c:v>529.16676074988447</c:v>
                </c:pt>
                <c:pt idx="33">
                  <c:v>521.50629741564228</c:v>
                </c:pt>
                <c:pt idx="34">
                  <c:v>523.26587316291943</c:v>
                </c:pt>
                <c:pt idx="35">
                  <c:v>524.86003997447358</c:v>
                </c:pt>
                <c:pt idx="36">
                  <c:v>526.30394920632216</c:v>
                </c:pt>
                <c:pt idx="37">
                  <c:v>527.61143745935067</c:v>
                </c:pt>
                <c:pt idx="38">
                  <c:v>528.79512704764738</c:v>
                </c:pt>
                <c:pt idx="39">
                  <c:v>529.86652142517755</c:v>
                </c:pt>
                <c:pt idx="40">
                  <c:v>530.83609525585541</c:v>
                </c:pt>
                <c:pt idx="41">
                  <c:v>531.71337897575165</c:v>
                </c:pt>
                <c:pt idx="42">
                  <c:v>532.5070378231311</c:v>
                </c:pt>
                <c:pt idx="43">
                  <c:v>533.22494540877801</c:v>
                </c:pt>
                <c:pt idx="44">
                  <c:v>533.87425197110838</c:v>
                </c:pt>
                <c:pt idx="45">
                  <c:v>534.46144751265285</c:v>
                </c:pt>
                <c:pt idx="46">
                  <c:v>534.99242005051531</c:v>
                </c:pt>
                <c:pt idx="47">
                  <c:v>535.47250923667286</c:v>
                </c:pt>
                <c:pt idx="48">
                  <c:v>535.90655561721519</c:v>
                </c:pt>
                <c:pt idx="49">
                  <c:v>536.2989458050647</c:v>
                </c:pt>
              </c:numCache>
            </c:numRef>
          </c:yVal>
          <c:smooth val="1"/>
        </c:ser>
        <c:dLbls>
          <c:showLegendKey val="0"/>
          <c:showVal val="0"/>
          <c:showCatName val="0"/>
          <c:showSerName val="0"/>
          <c:showPercent val="0"/>
          <c:showBubbleSize val="0"/>
        </c:dLbls>
        <c:axId val="767412608"/>
        <c:axId val="767413168"/>
      </c:scatterChart>
      <c:valAx>
        <c:axId val="767412608"/>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67413168"/>
        <c:crosses val="autoZero"/>
        <c:crossBetween val="midCat"/>
        <c:majorUnit val="10"/>
      </c:valAx>
      <c:valAx>
        <c:axId val="767413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6741260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Mineral</a:t>
            </a:r>
            <a:r>
              <a:rPr lang="en-US" baseline="0">
                <a:solidFill>
                  <a:sysClr val="windowText" lastClr="000000"/>
                </a:solidFill>
                <a:latin typeface="Arial" panose="020B0604020202020204" pitchFamily="34" charset="0"/>
                <a:cs typeface="Arial" panose="020B0604020202020204" pitchFamily="34" charset="0"/>
              </a:rPr>
              <a:t> Content of 1 cm</a:t>
            </a:r>
            <a:r>
              <a:rPr lang="en-US" baseline="30000">
                <a:solidFill>
                  <a:sysClr val="windowText" lastClr="000000"/>
                </a:solidFill>
                <a:latin typeface="Arial" panose="020B0604020202020204" pitchFamily="34" charset="0"/>
                <a:cs typeface="Arial" panose="020B0604020202020204" pitchFamily="34" charset="0"/>
              </a:rPr>
              <a:t>2</a:t>
            </a:r>
            <a:r>
              <a:rPr lang="en-US" baseline="0">
                <a:solidFill>
                  <a:sysClr val="windowText" lastClr="000000"/>
                </a:solidFill>
                <a:latin typeface="Arial" panose="020B0604020202020204" pitchFamily="34" charset="0"/>
                <a:cs typeface="Arial" panose="020B0604020202020204" pitchFamily="34" charset="0"/>
              </a:rPr>
              <a:t> x 1 cm slice (g/cm</a:t>
            </a:r>
            <a:r>
              <a:rPr lang="en-US" baseline="30000">
                <a:solidFill>
                  <a:sysClr val="windowText" lastClr="000000"/>
                </a:solidFill>
                <a:latin typeface="Arial" panose="020B0604020202020204" pitchFamily="34" charset="0"/>
                <a:cs typeface="Arial" panose="020B0604020202020204" pitchFamily="34" charset="0"/>
              </a:rPr>
              <a:t>3</a:t>
            </a:r>
            <a:r>
              <a:rPr lang="en-US" baseline="0">
                <a:solidFill>
                  <a:sysClr val="windowText" lastClr="000000"/>
                </a:solidFill>
                <a:latin typeface="Arial" panose="020B0604020202020204" pitchFamily="34" charset="0"/>
                <a:cs typeface="Arial" panose="020B0604020202020204" pitchFamily="34" charset="0"/>
              </a:rPr>
              <a:t>)</a:t>
            </a:r>
            <a:endParaRPr lang="en-US">
              <a:solidFill>
                <a:sysClr val="windowText" lastClr="000000"/>
              </a:solidFill>
              <a:latin typeface="Arial" panose="020B0604020202020204" pitchFamily="34" charset="0"/>
              <a:cs typeface="Arial" panose="020B0604020202020204" pitchFamily="34" charset="0"/>
            </a:endParaRPr>
          </a:p>
        </c:rich>
      </c:tx>
      <c:layout>
        <c:manualLayout>
          <c:xMode val="edge"/>
          <c:yMode val="edge"/>
          <c:x val="0.23926679644884402"/>
          <c:y val="3.82673088071045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318838605597086"/>
          <c:y val="0.15952688172043011"/>
          <c:w val="0.73138253454796565"/>
          <c:h val="0.65892448843246232"/>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xVal>
            <c:numRef>
              <c:f>outputs!$A$3:$A$52</c:f>
              <c:numCache>
                <c:formatCode>General</c:formatCode>
                <c:ptCount val="50"/>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pt idx="28">
                  <c:v>29.232878201735296</c:v>
                </c:pt>
                <c:pt idx="29">
                  <c:v>30.244838913741226</c:v>
                </c:pt>
                <c:pt idx="30">
                  <c:v>31.259149370866261</c:v>
                </c:pt>
                <c:pt idx="31">
                  <c:v>32.275584387507791</c:v>
                </c:pt>
                <c:pt idx="32">
                  <c:v>33.293939840142436</c:v>
                </c:pt>
                <c:pt idx="33">
                  <c:v>34.29546920864879</c:v>
                </c:pt>
                <c:pt idx="34">
                  <c:v>35.298512858313536</c:v>
                </c:pt>
                <c:pt idx="35">
                  <c:v>36.302926935574398</c:v>
                </c:pt>
                <c:pt idx="36">
                  <c:v>37.308581039515758</c:v>
                </c:pt>
                <c:pt idx="37">
                  <c:v>38.315357003265476</c:v>
                </c:pt>
                <c:pt idx="38">
                  <c:v>39.323147778399473</c:v>
                </c:pt>
                <c:pt idx="39">
                  <c:v>40.331856415062909</c:v>
                </c:pt>
                <c:pt idx="40">
                  <c:v>41.341395130744516</c:v>
                </c:pt>
                <c:pt idx="41">
                  <c:v>42.351684460930038</c:v>
                </c:pt>
                <c:pt idx="42">
                  <c:v>43.362652485192577</c:v>
                </c:pt>
                <c:pt idx="43">
                  <c:v>44.374234122635265</c:v>
                </c:pt>
                <c:pt idx="44">
                  <c:v>45.386370490970762</c:v>
                </c:pt>
                <c:pt idx="45">
                  <c:v>46.399008323897213</c:v>
                </c:pt>
                <c:pt idx="46">
                  <c:v>47.412099441798709</c:v>
                </c:pt>
                <c:pt idx="47">
                  <c:v>48.425600271158771</c:v>
                </c:pt>
                <c:pt idx="48">
                  <c:v>49.439471408423096</c:v>
                </c:pt>
                <c:pt idx="49">
                  <c:v>50.453677224378801</c:v>
                </c:pt>
              </c:numCache>
            </c:numRef>
          </c:xVal>
          <c:yVal>
            <c:numRef>
              <c:f>outputs!$H$3:$H$52</c:f>
              <c:numCache>
                <c:formatCode>General</c:formatCode>
                <c:ptCount val="50"/>
                <c:pt idx="0">
                  <c:v>1.5628800000000027</c:v>
                </c:pt>
                <c:pt idx="1">
                  <c:v>1.3798400000000015</c:v>
                </c:pt>
                <c:pt idx="2">
                  <c:v>1.2672000000000008</c:v>
                </c:pt>
                <c:pt idx="3">
                  <c:v>1.1827200000000002</c:v>
                </c:pt>
                <c:pt idx="4">
                  <c:v>1.1123199999999998</c:v>
                </c:pt>
                <c:pt idx="5">
                  <c:v>1.0559999999999994</c:v>
                </c:pt>
                <c:pt idx="6">
                  <c:v>1.0137599999999991</c:v>
                </c:pt>
                <c:pt idx="7">
                  <c:v>0.98559999999999914</c:v>
                </c:pt>
                <c:pt idx="8">
                  <c:v>0.9433599999999992</c:v>
                </c:pt>
                <c:pt idx="9">
                  <c:v>0.92927999999999922</c:v>
                </c:pt>
                <c:pt idx="10">
                  <c:v>0.90111999999999925</c:v>
                </c:pt>
                <c:pt idx="11">
                  <c:v>0.88703999999999927</c:v>
                </c:pt>
                <c:pt idx="12">
                  <c:v>0.87295999999999929</c:v>
                </c:pt>
                <c:pt idx="13">
                  <c:v>0.85887999999999931</c:v>
                </c:pt>
                <c:pt idx="14">
                  <c:v>0.84479999999999933</c:v>
                </c:pt>
                <c:pt idx="15">
                  <c:v>0.83071999999999935</c:v>
                </c:pt>
                <c:pt idx="16">
                  <c:v>0.83071999999999935</c:v>
                </c:pt>
                <c:pt idx="17">
                  <c:v>0.81663999999999937</c:v>
                </c:pt>
                <c:pt idx="18">
                  <c:v>0.81663999999999937</c:v>
                </c:pt>
                <c:pt idx="19">
                  <c:v>0.80255999999999938</c:v>
                </c:pt>
                <c:pt idx="20">
                  <c:v>0.80255999999999938</c:v>
                </c:pt>
                <c:pt idx="21">
                  <c:v>0.80255999999999938</c:v>
                </c:pt>
                <c:pt idx="22">
                  <c:v>0.7884799999999994</c:v>
                </c:pt>
                <c:pt idx="23">
                  <c:v>0.7884799999999994</c:v>
                </c:pt>
                <c:pt idx="24">
                  <c:v>0.7884799999999994</c:v>
                </c:pt>
                <c:pt idx="25">
                  <c:v>0.7884799999999994</c:v>
                </c:pt>
                <c:pt idx="26">
                  <c:v>0.77439999999999942</c:v>
                </c:pt>
                <c:pt idx="27">
                  <c:v>0.77439999999999942</c:v>
                </c:pt>
                <c:pt idx="28">
                  <c:v>0.77439999999999942</c:v>
                </c:pt>
                <c:pt idx="29">
                  <c:v>0.77439999999999942</c:v>
                </c:pt>
                <c:pt idx="30">
                  <c:v>0.77439999999999942</c:v>
                </c:pt>
                <c:pt idx="31">
                  <c:v>0.77439999999999942</c:v>
                </c:pt>
                <c:pt idx="32">
                  <c:v>0.77439999999999942</c:v>
                </c:pt>
                <c:pt idx="33">
                  <c:v>0.76031999999999944</c:v>
                </c:pt>
                <c:pt idx="34">
                  <c:v>0.76031999999999944</c:v>
                </c:pt>
                <c:pt idx="35">
                  <c:v>0.76031999999999944</c:v>
                </c:pt>
                <c:pt idx="36">
                  <c:v>0.76031999999999944</c:v>
                </c:pt>
                <c:pt idx="37">
                  <c:v>0.76031999999999944</c:v>
                </c:pt>
                <c:pt idx="38">
                  <c:v>0.76031999999999944</c:v>
                </c:pt>
                <c:pt idx="39">
                  <c:v>0.76031999999999944</c:v>
                </c:pt>
                <c:pt idx="40">
                  <c:v>0.76031999999999944</c:v>
                </c:pt>
                <c:pt idx="41">
                  <c:v>0.76031999999999944</c:v>
                </c:pt>
                <c:pt idx="42">
                  <c:v>0.76031999999999944</c:v>
                </c:pt>
                <c:pt idx="43">
                  <c:v>0.76031999999999944</c:v>
                </c:pt>
                <c:pt idx="44">
                  <c:v>0.76031999999999944</c:v>
                </c:pt>
                <c:pt idx="45">
                  <c:v>0.76031999999999944</c:v>
                </c:pt>
                <c:pt idx="46">
                  <c:v>0.76031999999999944</c:v>
                </c:pt>
                <c:pt idx="47">
                  <c:v>0.76031999999999944</c:v>
                </c:pt>
                <c:pt idx="48">
                  <c:v>0.76031999999999944</c:v>
                </c:pt>
                <c:pt idx="49">
                  <c:v>0.76031999999999944</c:v>
                </c:pt>
              </c:numCache>
            </c:numRef>
          </c:yVal>
          <c:smooth val="1"/>
        </c:ser>
        <c:dLbls>
          <c:showLegendKey val="0"/>
          <c:showVal val="0"/>
          <c:showCatName val="0"/>
          <c:showSerName val="0"/>
          <c:showPercent val="0"/>
          <c:showBubbleSize val="0"/>
        </c:dLbls>
        <c:axId val="767415968"/>
        <c:axId val="767416528"/>
      </c:scatterChart>
      <c:valAx>
        <c:axId val="767415968"/>
        <c:scaling>
          <c:orientation val="minMax"/>
          <c:max val="5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67416528"/>
        <c:crosses val="autoZero"/>
        <c:crossBetween val="midCat"/>
        <c:majorUnit val="10"/>
      </c:valAx>
      <c:valAx>
        <c:axId val="7674165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7674159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sz="1400" b="0">
                <a:solidFill>
                  <a:sysClr val="windowText" lastClr="000000"/>
                </a:solidFill>
                <a:latin typeface="Arial" panose="020B0604020202020204" pitchFamily="34" charset="0"/>
                <a:cs typeface="Arial" panose="020B0604020202020204" pitchFamily="34" charset="0"/>
              </a:rPr>
              <a:t>Years of Input per 1 cm section</a:t>
            </a:r>
          </a:p>
          <a:p>
            <a:pPr>
              <a:defRPr/>
            </a:pPr>
            <a:r>
              <a:rPr lang="en-US" sz="1400" b="0">
                <a:solidFill>
                  <a:sysClr val="windowText" lastClr="000000"/>
                </a:solidFill>
                <a:latin typeface="Arial" panose="020B0604020202020204" pitchFamily="34" charset="0"/>
                <a:cs typeface="Arial" panose="020B0604020202020204" pitchFamily="34" charset="0"/>
              </a:rPr>
              <a:t>or # of chorts per section</a:t>
            </a:r>
          </a:p>
        </c:rich>
      </c:tx>
      <c:layout>
        <c:manualLayout>
          <c:xMode val="edge"/>
          <c:yMode val="edge"/>
          <c:x val="0.2847267429089263"/>
          <c:y val="5.61936042672521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manualLayout>
          <c:layoutTarget val="inner"/>
          <c:xMode val="edge"/>
          <c:yMode val="edge"/>
          <c:x val="0.18035807262214282"/>
          <c:y val="0.15952688172043011"/>
          <c:w val="0.77477340528092065"/>
          <c:h val="0.56937435871911624"/>
        </c:manualLayout>
      </c:layout>
      <c:scatterChart>
        <c:scatterStyle val="smoothMarker"/>
        <c:varyColors val="0"/>
        <c:ser>
          <c:idx val="0"/>
          <c:order val="0"/>
          <c:spPr>
            <a:ln w="9525" cap="rnd">
              <a:solidFill>
                <a:srgbClr val="C00000"/>
              </a:solidFill>
              <a:round/>
            </a:ln>
            <a:effectLst/>
          </c:spPr>
          <c:marker>
            <c:symbol val="circle"/>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C00000"/>
                </a:solidFill>
                <a:round/>
              </a:ln>
              <a:effectLst/>
            </c:spPr>
          </c:marker>
          <c:xVal>
            <c:numRef>
              <c:f>outputs!$A$3:$A$72</c:f>
              <c:numCache>
                <c:formatCode>General</c:formatCode>
                <c:ptCount val="70"/>
                <c:pt idx="0">
                  <c:v>1.0065550116273889</c:v>
                </c:pt>
                <c:pt idx="1">
                  <c:v>2.0081371875823426</c:v>
                </c:pt>
                <c:pt idx="2">
                  <c:v>3.0136444954311821</c:v>
                </c:pt>
                <c:pt idx="3">
                  <c:v>4.0224327922385807</c:v>
                </c:pt>
                <c:pt idx="4">
                  <c:v>5.0293427087167091</c:v>
                </c:pt>
                <c:pt idx="5">
                  <c:v>6.0338568796017231</c:v>
                </c:pt>
                <c:pt idx="6">
                  <c:v>7.0394042183737255</c:v>
                </c:pt>
                <c:pt idx="7">
                  <c:v>8.0526787622214702</c:v>
                </c:pt>
                <c:pt idx="8">
                  <c:v>9.0527608419106045</c:v>
                </c:pt>
                <c:pt idx="9">
                  <c:v>10.064385324138454</c:v>
                </c:pt>
                <c:pt idx="10">
                  <c:v>11.068279113456258</c:v>
                </c:pt>
                <c:pt idx="11">
                  <c:v>12.076592052181825</c:v>
                </c:pt>
                <c:pt idx="12">
                  <c:v>13.086636567562394</c:v>
                </c:pt>
                <c:pt idx="13">
                  <c:v>14.096008827360183</c:v>
                </c:pt>
                <c:pt idx="14">
                  <c:v>15.102568662488546</c:v>
                </c:pt>
                <c:pt idx="15">
                  <c:v>16.10441768940785</c:v>
                </c:pt>
                <c:pt idx="16">
                  <c:v>17.117126283778294</c:v>
                </c:pt>
                <c:pt idx="17">
                  <c:v>18.122273812418534</c:v>
                </c:pt>
                <c:pt idx="18">
                  <c:v>19.13605270636009</c:v>
                </c:pt>
                <c:pt idx="19">
                  <c:v>20.139975331686042</c:v>
                </c:pt>
                <c:pt idx="20">
                  <c:v>21.15074400879638</c:v>
                </c:pt>
                <c:pt idx="21">
                  <c:v>22.167712971081308</c:v>
                </c:pt>
                <c:pt idx="22">
                  <c:v>23.172307430151051</c:v>
                </c:pt>
                <c:pt idx="23">
                  <c:v>24.181807363942699</c:v>
                </c:pt>
                <c:pt idx="24">
                  <c:v>25.195747940981793</c:v>
                </c:pt>
                <c:pt idx="25">
                  <c:v>26.213706019469292</c:v>
                </c:pt>
                <c:pt idx="26">
                  <c:v>27.217024388396627</c:v>
                </c:pt>
                <c:pt idx="27">
                  <c:v>28.223515509485505</c:v>
                </c:pt>
                <c:pt idx="28">
                  <c:v>29.232878201735296</c:v>
                </c:pt>
                <c:pt idx="29">
                  <c:v>30.244838913741226</c:v>
                </c:pt>
                <c:pt idx="30">
                  <c:v>31.259149370866261</c:v>
                </c:pt>
                <c:pt idx="31">
                  <c:v>32.275584387507791</c:v>
                </c:pt>
                <c:pt idx="32">
                  <c:v>33.293939840142436</c:v>
                </c:pt>
                <c:pt idx="33">
                  <c:v>34.29546920864879</c:v>
                </c:pt>
                <c:pt idx="34">
                  <c:v>35.298512858313536</c:v>
                </c:pt>
                <c:pt idx="35">
                  <c:v>36.302926935574398</c:v>
                </c:pt>
                <c:pt idx="36">
                  <c:v>37.308581039515758</c:v>
                </c:pt>
                <c:pt idx="37">
                  <c:v>38.315357003265476</c:v>
                </c:pt>
                <c:pt idx="38">
                  <c:v>39.323147778399473</c:v>
                </c:pt>
                <c:pt idx="39">
                  <c:v>40.331856415062909</c:v>
                </c:pt>
                <c:pt idx="40">
                  <c:v>41.341395130744516</c:v>
                </c:pt>
                <c:pt idx="41">
                  <c:v>42.351684460930038</c:v>
                </c:pt>
                <c:pt idx="42">
                  <c:v>43.362652485192577</c:v>
                </c:pt>
                <c:pt idx="43">
                  <c:v>44.374234122635265</c:v>
                </c:pt>
                <c:pt idx="44">
                  <c:v>45.386370490970762</c:v>
                </c:pt>
                <c:pt idx="45">
                  <c:v>46.399008323897213</c:v>
                </c:pt>
                <c:pt idx="46">
                  <c:v>47.412099441798709</c:v>
                </c:pt>
                <c:pt idx="47">
                  <c:v>48.425600271158771</c:v>
                </c:pt>
                <c:pt idx="48">
                  <c:v>49.439471408423096</c:v>
                </c:pt>
                <c:pt idx="49">
                  <c:v>50.453677224378801</c:v>
                </c:pt>
                <c:pt idx="50">
                  <c:v>51.46818550543167</c:v>
                </c:pt>
                <c:pt idx="51">
                  <c:v>52.482967128458156</c:v>
                </c:pt>
                <c:pt idx="52">
                  <c:v>53.497995766186484</c:v>
                </c:pt>
                <c:pt idx="53">
                  <c:v>54.513247620318914</c:v>
                </c:pt>
                <c:pt idx="54">
                  <c:v>55.528701179846983</c:v>
                </c:pt>
                <c:pt idx="55">
                  <c:v>56.544337002233704</c:v>
                </c:pt>
                <c:pt idx="56">
                  <c:v>57.560137515342127</c:v>
                </c:pt>
                <c:pt idx="57">
                  <c:v>58.576086838177503</c:v>
                </c:pt>
                <c:pt idx="58">
                  <c:v>59.592170618684619</c:v>
                </c:pt>
                <c:pt idx="59">
                  <c:v>60.608375887000648</c:v>
                </c:pt>
                <c:pt idx="60">
                  <c:v>61.624690922709568</c:v>
                </c:pt>
                <c:pt idx="61">
                  <c:v>62.641105134777796</c:v>
                </c:pt>
                <c:pt idx="62">
                  <c:v>63.657608952971749</c:v>
                </c:pt>
                <c:pt idx="63">
                  <c:v>64.674193729669852</c:v>
                </c:pt>
                <c:pt idx="64">
                  <c:v>65.690851651082042</c:v>
                </c:pt>
                <c:pt idx="65">
                  <c:v>66.707575656982428</c:v>
                </c:pt>
                <c:pt idx="66">
                  <c:v>67.724359368144192</c:v>
                </c:pt>
                <c:pt idx="67">
                  <c:v>68.741197020741851</c:v>
                </c:pt>
                <c:pt idx="68">
                  <c:v>69.758083407056617</c:v>
                </c:pt>
                <c:pt idx="69">
                  <c:v>70.775013821880918</c:v>
                </c:pt>
              </c:numCache>
            </c:numRef>
          </c:xVal>
          <c:yVal>
            <c:numRef>
              <c:f>outputs!$B$3:$B$72</c:f>
              <c:numCache>
                <c:formatCode>General</c:formatCode>
                <c:ptCount val="70"/>
                <c:pt idx="0">
                  <c:v>11.100000000000001</c:v>
                </c:pt>
                <c:pt idx="1">
                  <c:v>9.8000000000000007</c:v>
                </c:pt>
                <c:pt idx="2">
                  <c:v>9</c:v>
                </c:pt>
                <c:pt idx="3">
                  <c:v>8.4</c:v>
                </c:pt>
                <c:pt idx="4">
                  <c:v>7.9</c:v>
                </c:pt>
                <c:pt idx="5">
                  <c:v>7.5</c:v>
                </c:pt>
                <c:pt idx="6">
                  <c:v>7.2</c:v>
                </c:pt>
                <c:pt idx="7">
                  <c:v>7</c:v>
                </c:pt>
                <c:pt idx="8">
                  <c:v>6.7</c:v>
                </c:pt>
                <c:pt idx="9">
                  <c:v>6.6000000000000005</c:v>
                </c:pt>
                <c:pt idx="10">
                  <c:v>6.4</c:v>
                </c:pt>
                <c:pt idx="11">
                  <c:v>6.3000000000000007</c:v>
                </c:pt>
                <c:pt idx="12">
                  <c:v>6.2</c:v>
                </c:pt>
                <c:pt idx="13">
                  <c:v>6.1000000000000005</c:v>
                </c:pt>
                <c:pt idx="14">
                  <c:v>6</c:v>
                </c:pt>
                <c:pt idx="15">
                  <c:v>5.9</c:v>
                </c:pt>
                <c:pt idx="16">
                  <c:v>5.9</c:v>
                </c:pt>
                <c:pt idx="17">
                  <c:v>5.8000000000000007</c:v>
                </c:pt>
                <c:pt idx="18">
                  <c:v>5.8000000000000007</c:v>
                </c:pt>
                <c:pt idx="19">
                  <c:v>5.7</c:v>
                </c:pt>
                <c:pt idx="20">
                  <c:v>5.7</c:v>
                </c:pt>
                <c:pt idx="21">
                  <c:v>5.7</c:v>
                </c:pt>
                <c:pt idx="22">
                  <c:v>5.6000000000000005</c:v>
                </c:pt>
                <c:pt idx="23">
                  <c:v>5.6000000000000005</c:v>
                </c:pt>
                <c:pt idx="24">
                  <c:v>5.6000000000000005</c:v>
                </c:pt>
                <c:pt idx="25">
                  <c:v>5.6000000000000005</c:v>
                </c:pt>
                <c:pt idx="26">
                  <c:v>5.5</c:v>
                </c:pt>
                <c:pt idx="27">
                  <c:v>5.5</c:v>
                </c:pt>
                <c:pt idx="28">
                  <c:v>5.5</c:v>
                </c:pt>
                <c:pt idx="29">
                  <c:v>5.5</c:v>
                </c:pt>
                <c:pt idx="30">
                  <c:v>5.5</c:v>
                </c:pt>
                <c:pt idx="31">
                  <c:v>5.5</c:v>
                </c:pt>
                <c:pt idx="32">
                  <c:v>5.5</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5.4</c:v>
                </c:pt>
                <c:pt idx="47">
                  <c:v>5.4</c:v>
                </c:pt>
                <c:pt idx="48">
                  <c:v>5.4</c:v>
                </c:pt>
                <c:pt idx="49">
                  <c:v>5.4</c:v>
                </c:pt>
                <c:pt idx="50">
                  <c:v>5.4</c:v>
                </c:pt>
                <c:pt idx="51">
                  <c:v>5.4</c:v>
                </c:pt>
                <c:pt idx="52">
                  <c:v>5.4</c:v>
                </c:pt>
                <c:pt idx="53">
                  <c:v>5.4</c:v>
                </c:pt>
                <c:pt idx="54">
                  <c:v>5.4</c:v>
                </c:pt>
                <c:pt idx="55">
                  <c:v>5.4</c:v>
                </c:pt>
                <c:pt idx="56">
                  <c:v>5.4</c:v>
                </c:pt>
                <c:pt idx="57">
                  <c:v>5.4</c:v>
                </c:pt>
                <c:pt idx="58">
                  <c:v>5.4</c:v>
                </c:pt>
                <c:pt idx="59">
                  <c:v>5.4</c:v>
                </c:pt>
                <c:pt idx="60">
                  <c:v>5.4</c:v>
                </c:pt>
                <c:pt idx="61">
                  <c:v>5.4</c:v>
                </c:pt>
                <c:pt idx="62">
                  <c:v>5.4</c:v>
                </c:pt>
                <c:pt idx="63">
                  <c:v>5.4</c:v>
                </c:pt>
                <c:pt idx="64">
                  <c:v>5.4</c:v>
                </c:pt>
                <c:pt idx="65">
                  <c:v>5.4</c:v>
                </c:pt>
                <c:pt idx="66">
                  <c:v>5.4</c:v>
                </c:pt>
                <c:pt idx="67">
                  <c:v>5.4</c:v>
                </c:pt>
                <c:pt idx="68">
                  <c:v>5.4</c:v>
                </c:pt>
                <c:pt idx="69">
                  <c:v>5.4</c:v>
                </c:pt>
              </c:numCache>
            </c:numRef>
          </c:yVal>
          <c:smooth val="1"/>
        </c:ser>
        <c:dLbls>
          <c:showLegendKey val="0"/>
          <c:showVal val="0"/>
          <c:showCatName val="0"/>
          <c:showSerName val="0"/>
          <c:showPercent val="0"/>
          <c:showBubbleSize val="0"/>
        </c:dLbls>
        <c:axId val="767418768"/>
        <c:axId val="767419328"/>
      </c:scatterChart>
      <c:valAx>
        <c:axId val="767418768"/>
        <c:scaling>
          <c:orientation val="minMax"/>
          <c:max val="100"/>
          <c:min val="0"/>
        </c:scaling>
        <c:delete val="0"/>
        <c:axPos val="b"/>
        <c:majorGridlines>
          <c:spPr>
            <a:ln w="9525" cap="flat" cmpd="sng" algn="ctr">
              <a:solidFill>
                <a:schemeClr val="tx2">
                  <a:lumMod val="15000"/>
                  <a:lumOff val="85000"/>
                </a:schemeClr>
              </a:solidFill>
              <a:round/>
            </a:ln>
            <a:effectLst/>
          </c:spPr>
        </c:majorGridlines>
        <c:numFmt formatCode="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67419328"/>
        <c:crosses val="autoZero"/>
        <c:crossBetween val="midCat"/>
        <c:majorUnit val="10"/>
      </c:valAx>
      <c:valAx>
        <c:axId val="767419328"/>
        <c:scaling>
          <c:orientation val="minMax"/>
          <c:min val="0"/>
        </c:scaling>
        <c:delete val="0"/>
        <c:axPos val="l"/>
        <c:majorGridlines>
          <c:spPr>
            <a:ln w="9525" cap="flat" cmpd="sng" algn="ctr">
              <a:solidFill>
                <a:schemeClr val="tx2">
                  <a:lumMod val="15000"/>
                  <a:lumOff val="85000"/>
                </a:schemeClr>
              </a:solidFill>
              <a:round/>
            </a:ln>
            <a:effectLst/>
          </c:spPr>
        </c:majorGridlines>
        <c:numFmt formatCode="0.0" sourceLinked="0"/>
        <c:majorTickMark val="none"/>
        <c:minorTickMark val="none"/>
        <c:tickLblPos val="nextTo"/>
        <c:spPr>
          <a:noFill/>
          <a:ln w="19050">
            <a:solidFill>
              <a:schemeClr val="tx1"/>
            </a:solidFill>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67418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latin typeface="Arial" panose="020B0604020202020204" pitchFamily="34" charset="0"/>
                <a:cs typeface="Arial" panose="020B0604020202020204" pitchFamily="34" charset="0"/>
              </a:rPr>
              <a:t>Dry Bulk Density</a:t>
            </a:r>
          </a:p>
        </c:rich>
      </c:tx>
      <c:layout>
        <c:manualLayout>
          <c:xMode val="edge"/>
          <c:yMode val="edge"/>
          <c:x val="0.32511676513250776"/>
          <c:y val="2.78185362420155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646007474757413"/>
          <c:y val="0.12474418025047572"/>
          <c:w val="0.68581421038743806"/>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outputs!$K$3:$K$52</c:f>
              <c:numCache>
                <c:formatCode>General</c:formatCode>
                <c:ptCount val="50"/>
                <c:pt idx="0">
                  <c:v>8.6328817607581473E-2</c:v>
                </c:pt>
                <c:pt idx="1">
                  <c:v>8.6303239888562408E-2</c:v>
                </c:pt>
                <c:pt idx="2">
                  <c:v>8.6317701058450172E-2</c:v>
                </c:pt>
                <c:pt idx="3">
                  <c:v>8.6355392701234296E-2</c:v>
                </c:pt>
                <c:pt idx="4">
                  <c:v>8.6412132940157108E-2</c:v>
                </c:pt>
                <c:pt idx="5">
                  <c:v>8.6485591126518935E-2</c:v>
                </c:pt>
                <c:pt idx="6">
                  <c:v>8.6574859683673303E-2</c:v>
                </c:pt>
                <c:pt idx="7">
                  <c:v>8.6680276039784787E-2</c:v>
                </c:pt>
                <c:pt idx="8">
                  <c:v>8.6801474367125583E-2</c:v>
                </c:pt>
                <c:pt idx="9">
                  <c:v>8.6939274682906437E-2</c:v>
                </c:pt>
                <c:pt idx="10">
                  <c:v>8.7095137405044737E-2</c:v>
                </c:pt>
                <c:pt idx="11">
                  <c:v>8.726978315898698E-2</c:v>
                </c:pt>
                <c:pt idx="12">
                  <c:v>8.7465649519539557E-2</c:v>
                </c:pt>
                <c:pt idx="13">
                  <c:v>8.7684171740982905E-2</c:v>
                </c:pt>
                <c:pt idx="14">
                  <c:v>8.7926888109876533E-2</c:v>
                </c:pt>
                <c:pt idx="15">
                  <c:v>8.8195428146014943E-2</c:v>
                </c:pt>
                <c:pt idx="16">
                  <c:v>8.849414788089198E-2</c:v>
                </c:pt>
                <c:pt idx="17">
                  <c:v>8.8825821928037924E-2</c:v>
                </c:pt>
                <c:pt idx="18">
                  <c:v>8.919333672291091E-2</c:v>
                </c:pt>
                <c:pt idx="19">
                  <c:v>8.9599963990363171E-2</c:v>
                </c:pt>
                <c:pt idx="20">
                  <c:v>9.0049059548865551E-2</c:v>
                </c:pt>
                <c:pt idx="21">
                  <c:v>9.0548993063143152E-2</c:v>
                </c:pt>
                <c:pt idx="22">
                  <c:v>9.110021775784316E-2</c:v>
                </c:pt>
                <c:pt idx="23">
                  <c:v>9.1707002627877621E-2</c:v>
                </c:pt>
                <c:pt idx="24">
                  <c:v>9.2380446948801181E-2</c:v>
                </c:pt>
                <c:pt idx="25">
                  <c:v>9.3127625173289208E-2</c:v>
                </c:pt>
                <c:pt idx="26">
                  <c:v>9.3948671133579562E-2</c:v>
                </c:pt>
                <c:pt idx="27">
                  <c:v>9.4849444825466395E-2</c:v>
                </c:pt>
                <c:pt idx="28">
                  <c:v>9.5846018302396307E-2</c:v>
                </c:pt>
                <c:pt idx="29">
                  <c:v>9.6948200909415638E-2</c:v>
                </c:pt>
                <c:pt idx="30">
                  <c:v>9.8166740372757508E-2</c:v>
                </c:pt>
                <c:pt idx="31">
                  <c:v>9.9513395735877197E-2</c:v>
                </c:pt>
                <c:pt idx="32">
                  <c:v>0.10100101221876175</c:v>
                </c:pt>
                <c:pt idx="33">
                  <c:v>0.10262817262341591</c:v>
                </c:pt>
                <c:pt idx="34">
                  <c:v>0.10440483371195232</c:v>
                </c:pt>
                <c:pt idx="35">
                  <c:v>0.10636107944484303</c:v>
                </c:pt>
                <c:pt idx="36">
                  <c:v>0.10851383634123671</c:v>
                </c:pt>
                <c:pt idx="37">
                  <c:v>0.11088136935964557</c:v>
                </c:pt>
                <c:pt idx="38">
                  <c:v>0.11348333072616336</c:v>
                </c:pt>
                <c:pt idx="39">
                  <c:v>0.11634079679560468</c:v>
                </c:pt>
                <c:pt idx="40">
                  <c:v>0.11947628903732527</c:v>
                </c:pt>
                <c:pt idx="41">
                  <c:v>0.12291377459165619</c:v>
                </c:pt>
                <c:pt idx="42">
                  <c:v>0.12667864117131478</c:v>
                </c:pt>
                <c:pt idx="43">
                  <c:v>0.13079764041153838</c:v>
                </c:pt>
                <c:pt idx="44">
                  <c:v>0.13529879314105728</c:v>
                </c:pt>
                <c:pt idx="45">
                  <c:v>0.14021124950433361</c:v>
                </c:pt>
                <c:pt idx="46">
                  <c:v>0.14556509648056049</c:v>
                </c:pt>
                <c:pt idx="47">
                  <c:v>0.15139110519881965</c:v>
                </c:pt>
                <c:pt idx="48">
                  <c:v>0.15772041064040837</c:v>
                </c:pt>
                <c:pt idx="49">
                  <c:v>0.16458411696120279</c:v>
                </c:pt>
              </c:numCache>
            </c:numRef>
          </c:yVal>
          <c:smooth val="1"/>
        </c:ser>
        <c:dLbls>
          <c:showLegendKey val="0"/>
          <c:showVal val="0"/>
          <c:showCatName val="0"/>
          <c:showSerName val="0"/>
          <c:showPercent val="0"/>
          <c:showBubbleSize val="0"/>
        </c:dLbls>
        <c:axId val="767421568"/>
        <c:axId val="767422128"/>
      </c:scatterChart>
      <c:valAx>
        <c:axId val="767421568"/>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67422128"/>
        <c:crosses val="autoZero"/>
        <c:crossBetween val="midCat"/>
        <c:majorUnit val="10"/>
      </c:valAx>
      <c:valAx>
        <c:axId val="767422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674215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ysClr val="windowText" lastClr="000000"/>
                </a:solidFill>
              </a:rPr>
              <a:t>Annual Decay </a:t>
            </a:r>
          </a:p>
        </c:rich>
      </c:tx>
      <c:layout>
        <c:manualLayout>
          <c:xMode val="edge"/>
          <c:yMode val="edge"/>
          <c:x val="0.40042957458660267"/>
          <c:y val="1.640989598544700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1247466799881229"/>
          <c:y val="0.1166961535322522"/>
          <c:w val="0.74265668001275142"/>
          <c:h val="0.67187841842350349"/>
        </c:manualLayout>
      </c:layout>
      <c:scatterChart>
        <c:scatterStyle val="smoothMarker"/>
        <c:varyColors val="0"/>
        <c:ser>
          <c:idx val="0"/>
          <c:order val="0"/>
          <c:spPr>
            <a:ln w="19050" cap="rnd">
              <a:solidFill>
                <a:srgbClr val="C00000"/>
              </a:solidFill>
              <a:round/>
            </a:ln>
            <a:effectLst/>
          </c:spPr>
          <c:marker>
            <c:symbol val="circle"/>
            <c:size val="5"/>
            <c:spPr>
              <a:solidFill>
                <a:schemeClr val="accent1"/>
              </a:solidFill>
              <a:ln w="9525">
                <a:solidFill>
                  <a:srgbClr val="C00000"/>
                </a:solidFill>
              </a:ln>
              <a:effectLst/>
            </c:spPr>
          </c:marker>
          <c:yVal>
            <c:numRef>
              <c:f>outputs!$I$3:$I$52</c:f>
              <c:numCache>
                <c:formatCode>General</c:formatCode>
                <c:ptCount val="50"/>
                <c:pt idx="0">
                  <c:v>0.30831005891715035</c:v>
                </c:pt>
                <c:pt idx="1">
                  <c:v>0.3512035448040276</c:v>
                </c:pt>
                <c:pt idx="2">
                  <c:v>0.34821750974365018</c:v>
                </c:pt>
                <c:pt idx="3">
                  <c:v>0.3392569835408113</c:v>
                </c:pt>
                <c:pt idx="4">
                  <c:v>0.32622229105235856</c:v>
                </c:pt>
                <c:pt idx="5">
                  <c:v>0.31057791079110186</c:v>
                </c:pt>
                <c:pt idx="6">
                  <c:v>0.29336647194606741</c:v>
                </c:pt>
                <c:pt idx="7">
                  <c:v>0.27527753990990134</c:v>
                </c:pt>
                <c:pt idx="8">
                  <c:v>0.25700745598827401</c:v>
                </c:pt>
                <c:pt idx="9">
                  <c:v>0.23894011628970471</c:v>
                </c:pt>
                <c:pt idx="10">
                  <c:v>0.22131496074123716</c:v>
                </c:pt>
                <c:pt idx="11">
                  <c:v>0.20439872513774365</c:v>
                </c:pt>
                <c:pt idx="12">
                  <c:v>0.18824369522324497</c:v>
                </c:pt>
                <c:pt idx="13">
                  <c:v>0.1729750395581757</c:v>
                </c:pt>
                <c:pt idx="14">
                  <c:v>0.15866632946324369</c:v>
                </c:pt>
                <c:pt idx="15">
                  <c:v>0.14535044434744479</c:v>
                </c:pt>
                <c:pt idx="16">
                  <c:v>0.13292839673764392</c:v>
                </c:pt>
                <c:pt idx="17">
                  <c:v>0.12139691598539294</c:v>
                </c:pt>
                <c:pt idx="18">
                  <c:v>0.11074033625334752</c:v>
                </c:pt>
                <c:pt idx="19">
                  <c:v>0.1009262326663716</c:v>
                </c:pt>
                <c:pt idx="20">
                  <c:v>9.1917908871906914E-2</c:v>
                </c:pt>
                <c:pt idx="21">
                  <c:v>8.3599784701771374E-2</c:v>
                </c:pt>
                <c:pt idx="22">
                  <c:v>7.600448579182835E-2</c:v>
                </c:pt>
                <c:pt idx="23">
                  <c:v>6.9083813357770515E-2</c:v>
                </c:pt>
                <c:pt idx="24">
                  <c:v>6.2732458930503346E-2</c:v>
                </c:pt>
                <c:pt idx="25">
                  <c:v>5.6915143088205271E-2</c:v>
                </c:pt>
                <c:pt idx="26">
                  <c:v>5.164113464165139E-2</c:v>
                </c:pt>
                <c:pt idx="27">
                  <c:v>4.686501039409572E-2</c:v>
                </c:pt>
                <c:pt idx="28">
                  <c:v>4.2504094011964394E-2</c:v>
                </c:pt>
                <c:pt idx="29">
                  <c:v>3.85272417262894E-2</c:v>
                </c:pt>
                <c:pt idx="30">
                  <c:v>3.4904686833820704E-2</c:v>
                </c:pt>
                <c:pt idx="31">
                  <c:v>3.1608187417572965E-2</c:v>
                </c:pt>
                <c:pt idx="32">
                  <c:v>2.8611114722073252E-2</c:v>
                </c:pt>
                <c:pt idx="33">
                  <c:v>2.5911703113654021E-2</c:v>
                </c:pt>
                <c:pt idx="34">
                  <c:v>2.3480931182992389E-2</c:v>
                </c:pt>
                <c:pt idx="35">
                  <c:v>2.1271889562824223E-2</c:v>
                </c:pt>
                <c:pt idx="36">
                  <c:v>1.9265509746914152E-2</c:v>
                </c:pt>
                <c:pt idx="37">
                  <c:v>1.7444147223286122E-2</c:v>
                </c:pt>
                <c:pt idx="38">
                  <c:v>1.5791517115677927E-2</c:v>
                </c:pt>
                <c:pt idx="39">
                  <c:v>1.4292623523961146E-2</c:v>
                </c:pt>
                <c:pt idx="40">
                  <c:v>1.293368523361247E-2</c:v>
                </c:pt>
                <c:pt idx="41">
                  <c:v>1.1702059888197662E-2</c:v>
                </c:pt>
                <c:pt idx="42">
                  <c:v>1.05861682416537E-2</c:v>
                </c:pt>
                <c:pt idx="43">
                  <c:v>9.5754197151120355E-3</c:v>
                </c:pt>
                <c:pt idx="44">
                  <c:v>8.6601401636081481E-3</c:v>
                </c:pt>
                <c:pt idx="45">
                  <c:v>7.8315024999359561E-3</c:v>
                </c:pt>
                <c:pt idx="46">
                  <c:v>7.0814606163249671E-3</c:v>
                </c:pt>
                <c:pt idx="47">
                  <c:v>6.402686880809862E-3</c:v>
                </c:pt>
                <c:pt idx="48">
                  <c:v>5.7885133568056791E-3</c:v>
                </c:pt>
                <c:pt idx="49">
                  <c:v>5.2328767950796818E-3</c:v>
                </c:pt>
              </c:numCache>
            </c:numRef>
          </c:yVal>
          <c:smooth val="1"/>
        </c:ser>
        <c:dLbls>
          <c:showLegendKey val="0"/>
          <c:showVal val="0"/>
          <c:showCatName val="0"/>
          <c:showSerName val="0"/>
          <c:showPercent val="0"/>
          <c:showBubbleSize val="0"/>
        </c:dLbls>
        <c:axId val="767424368"/>
        <c:axId val="767424928"/>
      </c:scatterChart>
      <c:valAx>
        <c:axId val="767424368"/>
        <c:scaling>
          <c:orientation val="minMax"/>
          <c:max val="50"/>
          <c:min val="0"/>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67424928"/>
        <c:crosses val="autoZero"/>
        <c:crossBetween val="midCat"/>
        <c:majorUnit val="10"/>
      </c:valAx>
      <c:valAx>
        <c:axId val="76742492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ysClr val="windowText" lastClr="000000"/>
                </a:solidFill>
                <a:latin typeface="+mn-lt"/>
                <a:ea typeface="+mn-ea"/>
                <a:cs typeface="+mn-cs"/>
              </a:defRPr>
            </a:pPr>
            <a:endParaRPr lang="en-US"/>
          </a:p>
        </c:txPr>
        <c:crossAx val="7674243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2">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9525" cap="rnd">
        <a:solidFill>
          <a:schemeClr val="phClr"/>
        </a:solidFill>
        <a:round/>
      </a:ln>
    </cs:spPr>
  </cs:dataPointLine>
  <cs:dataPointMarker>
    <cs:lnRef idx="0">
      <cs:styleClr val="auto"/>
    </cs:lnRef>
    <cs:fillRef idx="3">
      <cs:styleClr val="auto"/>
    </cs:fillRef>
    <cs:effectRef idx="2"/>
    <cs:fontRef idx="minor">
      <a:schemeClr val="tx2"/>
    </cs:fontRef>
    <cs:spPr>
      <a:ln w="9525">
        <a:solidFill>
          <a:schemeClr val="phClr"/>
        </a:solidFill>
        <a:round/>
      </a:ln>
    </cs:spPr>
  </cs:dataPointMarker>
  <cs:dataPointMarkerLayout symbol="circle" size="5"/>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9525" cap="rnd">
        <a:solidFill>
          <a:schemeClr val="phClr"/>
        </a:solidFill>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spPr>
      <a:ln>
        <a:solidFill>
          <a:schemeClr val="tx2">
            <a:lumMod val="40000"/>
            <a:lumOff val="60000"/>
          </a:schemeClr>
        </a:solidFill>
      </a:ln>
    </cs:spPr>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1</xdr:row>
          <xdr:rowOff>133350</xdr:rowOff>
        </xdr:from>
        <xdr:to>
          <xdr:col>4</xdr:col>
          <xdr:colOff>1457325</xdr:colOff>
          <xdr:row>1</xdr:row>
          <xdr:rowOff>666750</xdr:rowOff>
        </xdr:to>
        <xdr:sp macro="" textlink="">
          <xdr:nvSpPr>
            <xdr:cNvPr id="1033" name="CommandButton1"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130554</xdr:colOff>
      <xdr:row>13</xdr:row>
      <xdr:rowOff>43296</xdr:rowOff>
    </xdr:from>
    <xdr:to>
      <xdr:col>4</xdr:col>
      <xdr:colOff>2003803</xdr:colOff>
      <xdr:row>28</xdr:row>
      <xdr:rowOff>101022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2135909</xdr:colOff>
      <xdr:row>29</xdr:row>
      <xdr:rowOff>77376</xdr:rowOff>
    </xdr:from>
    <xdr:to>
      <xdr:col>9</xdr:col>
      <xdr:colOff>418523</xdr:colOff>
      <xdr:row>44</xdr:row>
      <xdr:rowOff>152978</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2135909</xdr:colOff>
      <xdr:row>13</xdr:row>
      <xdr:rowOff>72158</xdr:rowOff>
    </xdr:from>
    <xdr:to>
      <xdr:col>9</xdr:col>
      <xdr:colOff>458932</xdr:colOff>
      <xdr:row>28</xdr:row>
      <xdr:rowOff>103909</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597478</xdr:colOff>
      <xdr:row>13</xdr:row>
      <xdr:rowOff>113233</xdr:rowOff>
    </xdr:from>
    <xdr:to>
      <xdr:col>13</xdr:col>
      <xdr:colOff>1399886</xdr:colOff>
      <xdr:row>28</xdr:row>
      <xdr:rowOff>115454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577272</xdr:colOff>
      <xdr:row>29</xdr:row>
      <xdr:rowOff>72177</xdr:rowOff>
    </xdr:from>
    <xdr:to>
      <xdr:col>13</xdr:col>
      <xdr:colOff>1443182</xdr:colOff>
      <xdr:row>44</xdr:row>
      <xdr:rowOff>173182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86591</xdr:colOff>
      <xdr:row>29</xdr:row>
      <xdr:rowOff>98136</xdr:rowOff>
    </xdr:from>
    <xdr:to>
      <xdr:col>4</xdr:col>
      <xdr:colOff>1962726</xdr:colOff>
      <xdr:row>44</xdr:row>
      <xdr:rowOff>138547</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562841</xdr:colOff>
      <xdr:row>45</xdr:row>
      <xdr:rowOff>46183</xdr:rowOff>
    </xdr:from>
    <xdr:to>
      <xdr:col>13</xdr:col>
      <xdr:colOff>1397000</xdr:colOff>
      <xdr:row>60</xdr:row>
      <xdr:rowOff>103908</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80817</xdr:colOff>
      <xdr:row>45</xdr:row>
      <xdr:rowOff>49069</xdr:rowOff>
    </xdr:from>
    <xdr:to>
      <xdr:col>4</xdr:col>
      <xdr:colOff>1962727</xdr:colOff>
      <xdr:row>60</xdr:row>
      <xdr:rowOff>86591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2121477</xdr:colOff>
      <xdr:row>45</xdr:row>
      <xdr:rowOff>46182</xdr:rowOff>
    </xdr:from>
    <xdr:to>
      <xdr:col>9</xdr:col>
      <xdr:colOff>447386</xdr:colOff>
      <xdr:row>60</xdr:row>
      <xdr:rowOff>103909</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47625</xdr:colOff>
          <xdr:row>1</xdr:row>
          <xdr:rowOff>28575</xdr:rowOff>
        </xdr:from>
        <xdr:to>
          <xdr:col>8</xdr:col>
          <xdr:colOff>314325</xdr:colOff>
          <xdr:row>1</xdr:row>
          <xdr:rowOff>352425</xdr:rowOff>
        </xdr:to>
        <xdr:sp macro="" textlink="">
          <xdr:nvSpPr>
            <xdr:cNvPr id="1035" name="exproot"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404089</xdr:colOff>
      <xdr:row>67</xdr:row>
      <xdr:rowOff>129886</xdr:rowOff>
    </xdr:from>
    <xdr:to>
      <xdr:col>13</xdr:col>
      <xdr:colOff>1327726</xdr:colOff>
      <xdr:row>92</xdr:row>
      <xdr:rowOff>28863</xdr:rowOff>
    </xdr:to>
    <xdr:sp macro="" textlink="">
      <xdr:nvSpPr>
        <xdr:cNvPr id="2" name="TextBox 1"/>
        <xdr:cNvSpPr txBox="1"/>
      </xdr:nvSpPr>
      <xdr:spPr>
        <a:xfrm>
          <a:off x="779316" y="13970000"/>
          <a:ext cx="11415569" cy="4647045"/>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50000"/>
            </a:lnSpc>
          </a:pPr>
          <a:r>
            <a:rPr lang="en-US" sz="1400" baseline="0">
              <a:latin typeface="Arial" panose="020B0604020202020204" pitchFamily="34" charset="0"/>
              <a:cs typeface="Arial" panose="020B0604020202020204" pitchFamily="34" charset="0"/>
            </a:rPr>
            <a:t>This model is the front-end to MEM.  It fills the cohorts at time zero of the simulation, and assumes mineral inputs, depth below MHW, and root biomass have remained constant throughout the recent past (e.g. long enough to fill a 150 cm column of sediment). It takes advantage of the ideal mixing law - that the organic and mineral fractions are additive and have self-packing densities k1 and k2 (Morris, J.T. ,D.C. Barber, J.C. Callaway, R.Chambers, S.C. Hagen, C.S. Hopkinson, B.J. Johnson, P. Megonigal, S.C. Neubauer, T.Troxler, and C.Wigand. 2016. Contributions of organic and inorganic matter to sediment volume and accretion in tidal wetlands at steady state, Earth’s Future. 4, doi:10.1002/2015EF000334).   </a:t>
          </a:r>
          <a:r>
            <a:rPr lang="en-US" sz="1400">
              <a:solidFill>
                <a:schemeClr val="dk1"/>
              </a:solidFill>
              <a:effectLst/>
              <a:latin typeface="Arial" panose="020B0604020202020204" pitchFamily="34" charset="0"/>
              <a:ea typeface="+mn-ea"/>
              <a:cs typeface="Arial" panose="020B0604020202020204" pitchFamily="34" charset="0"/>
            </a:rPr>
            <a:t>Note:  The differences among the various measures of vertical accretion</a:t>
          </a:r>
          <a:r>
            <a:rPr lang="en-US" sz="1400" baseline="0">
              <a:solidFill>
                <a:schemeClr val="dk1"/>
              </a:solidFill>
              <a:effectLst/>
              <a:latin typeface="Arial" panose="020B0604020202020204" pitchFamily="34" charset="0"/>
              <a:ea typeface="+mn-ea"/>
              <a:cs typeface="Arial" panose="020B0604020202020204" pitchFamily="34" charset="0"/>
            </a:rPr>
            <a:t> shown in the top table </a:t>
          </a:r>
          <a:r>
            <a:rPr lang="en-US" sz="1400">
              <a:solidFill>
                <a:schemeClr val="dk1"/>
              </a:solidFill>
              <a:effectLst/>
              <a:latin typeface="Arial" panose="020B0604020202020204" pitchFamily="34" charset="0"/>
              <a:ea typeface="+mn-ea"/>
              <a:cs typeface="Arial" panose="020B0604020202020204" pitchFamily="34" charset="0"/>
            </a:rPr>
            <a:t>arise because the cohorts change size as they age,</a:t>
          </a:r>
          <a:r>
            <a:rPr lang="en-US" sz="1400" baseline="0">
              <a:solidFill>
                <a:schemeClr val="dk1"/>
              </a:solidFill>
              <a:effectLst/>
              <a:latin typeface="Arial" panose="020B0604020202020204" pitchFamily="34" charset="0"/>
              <a:ea typeface="+mn-ea"/>
              <a:cs typeface="Arial" panose="020B0604020202020204" pitchFamily="34" charset="0"/>
            </a:rPr>
            <a:t> and each type of accretion measure incorporates different parts of the sediment profile.</a:t>
          </a:r>
          <a:r>
            <a:rPr lang="en-US" sz="1400">
              <a:solidFill>
                <a:schemeClr val="dk1"/>
              </a:solidFill>
              <a:effectLst/>
              <a:latin typeface="Arial" panose="020B0604020202020204" pitchFamily="34" charset="0"/>
              <a:ea typeface="+mn-ea"/>
              <a:cs typeface="Arial" panose="020B0604020202020204" pitchFamily="34" charset="0"/>
            </a:rPr>
            <a:t>  Typically the surface cohort is of a small size.   It gains volume as roots are added and then loses volume as SOM decays.</a:t>
          </a:r>
          <a:r>
            <a:rPr lang="en-US" sz="1400" baseline="0">
              <a:solidFill>
                <a:schemeClr val="dk1"/>
              </a:solidFill>
              <a:effectLst/>
              <a:latin typeface="Arial" panose="020B0604020202020204" pitchFamily="34" charset="0"/>
              <a:ea typeface="+mn-ea"/>
              <a:cs typeface="Arial" panose="020B0604020202020204" pitchFamily="34" charset="0"/>
            </a:rPr>
            <a:t> Cool trick:With a linear root distribution, change Dm to 50, run the model and observed the change in 210Pb profile and accretion rates.You will see that the steady state accretion rate does not change.</a:t>
          </a:r>
        </a:p>
        <a:p>
          <a:pPr>
            <a:lnSpc>
              <a:spcPct val="150000"/>
            </a:lnSpc>
          </a:pPr>
          <a:endParaRPr lang="en-US" sz="1400" baseline="0">
            <a:solidFill>
              <a:schemeClr val="dk1"/>
            </a:solidFill>
            <a:effectLst/>
            <a:latin typeface="Arial" panose="020B0604020202020204" pitchFamily="34" charset="0"/>
            <a:ea typeface="+mn-ea"/>
            <a:cs typeface="Arial" panose="020B0604020202020204" pitchFamily="34" charset="0"/>
          </a:endParaRPr>
        </a:p>
        <a:p>
          <a:pPr>
            <a:lnSpc>
              <a:spcPct val="150000"/>
            </a:lnSpc>
          </a:pPr>
          <a:r>
            <a:rPr lang="en-US" sz="1400" baseline="0">
              <a:solidFill>
                <a:schemeClr val="dk1"/>
              </a:solidFill>
              <a:effectLst/>
              <a:latin typeface="Arial" panose="020B0604020202020204" pitchFamily="34" charset="0"/>
              <a:ea typeface="+mn-ea"/>
              <a:cs typeface="Arial" panose="020B0604020202020204" pitchFamily="34" charset="0"/>
            </a:rPr>
            <a:t>Challenge:  First, study the profile of sediment organic matter concentration (top right graph).  Decrease the annual decay rate of labile organic matter from 0.8 to 0.2 and run the model.  Observe how the SOM profile changes.  Can you explain this?  Hint:  look at the bottom right graph, the number of years (number of cohorts) in a 1 cm sediment section.  Give up?  Emal me.</a:t>
          </a:r>
          <a:endParaRPr lang="en-US" sz="1400">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0.31359</cdr:x>
      <cdr:y>0.8779</cdr:y>
    </cdr:from>
    <cdr:to>
      <cdr:x>0.88386</cdr:x>
      <cdr:y>0.96692</cdr:y>
    </cdr:to>
    <cdr:sp macro="" textlink="">
      <cdr:nvSpPr>
        <cdr:cNvPr id="2" name="TextBox 1"/>
        <cdr:cNvSpPr txBox="1"/>
      </cdr:nvSpPr>
      <cdr:spPr>
        <a:xfrm xmlns:a="http://schemas.openxmlformats.org/drawingml/2006/main">
          <a:off x="1184818" y="2521281"/>
          <a:ext cx="2154622" cy="25565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endParaRPr lang="en-US" sz="1200"/>
        </a:p>
      </cdr:txBody>
    </cdr:sp>
  </cdr:relSizeAnchor>
  <cdr:relSizeAnchor xmlns:cdr="http://schemas.openxmlformats.org/drawingml/2006/chartDrawing">
    <cdr:from>
      <cdr:x>0.02858</cdr:x>
      <cdr:y>0.15367</cdr:y>
    </cdr:from>
    <cdr:to>
      <cdr:x>0.14344</cdr:x>
      <cdr:y>0.69708</cdr:y>
    </cdr:to>
    <cdr:sp macro="" textlink="">
      <cdr:nvSpPr>
        <cdr:cNvPr id="3" name="TextBox 1"/>
        <cdr:cNvSpPr txBox="1"/>
      </cdr:nvSpPr>
      <cdr:spPr>
        <a:xfrm xmlns:a="http://schemas.openxmlformats.org/drawingml/2006/main" rot="16200000">
          <a:off x="-466243" y="1022512"/>
          <a:ext cx="1584161" cy="43512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Pb210</a:t>
          </a:r>
          <a:r>
            <a:rPr lang="en-US" sz="1400" baseline="0">
              <a:latin typeface="Arial" panose="020B0604020202020204" pitchFamily="34" charset="0"/>
              <a:cs typeface="Arial" panose="020B0604020202020204" pitchFamily="34" charset="0"/>
            </a:rPr>
            <a:t> (</a:t>
          </a:r>
          <a:r>
            <a:rPr lang="en-US" sz="1400">
              <a:latin typeface="Arial" panose="020B0604020202020204" pitchFamily="34" charset="0"/>
              <a:cs typeface="Arial" panose="020B0604020202020204" pitchFamily="34" charset="0"/>
            </a:rPr>
            <a:t>dpm/g)</a:t>
          </a:r>
        </a:p>
      </cdr:txBody>
    </cdr:sp>
  </cdr:relSizeAnchor>
</c:userShapes>
</file>

<file path=xl/drawings/drawing3.xml><?xml version="1.0" encoding="utf-8"?>
<c:userShapes xmlns:c="http://schemas.openxmlformats.org/drawingml/2006/chart">
  <cdr:relSizeAnchor xmlns:cdr="http://schemas.openxmlformats.org/drawingml/2006/chartDrawing">
    <cdr:from>
      <cdr:x>0.36458</cdr:x>
      <cdr:y>0.89901</cdr:y>
    </cdr:from>
    <cdr:to>
      <cdr:x>0.92266</cdr:x>
      <cdr:y>0.98724</cdr:y>
    </cdr:to>
    <cdr:sp macro="" textlink="">
      <cdr:nvSpPr>
        <cdr:cNvPr id="2" name="TextBox 1"/>
        <cdr:cNvSpPr txBox="1"/>
      </cdr:nvSpPr>
      <cdr:spPr>
        <a:xfrm xmlns:a="http://schemas.openxmlformats.org/drawingml/2006/main">
          <a:off x="1360637" y="2665711"/>
          <a:ext cx="2082794" cy="26161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r>
            <a:rPr lang="en-US" sz="1200"/>
            <a:t>)</a:t>
          </a:r>
        </a:p>
      </cdr:txBody>
    </cdr:sp>
  </cdr:relSizeAnchor>
  <cdr:relSizeAnchor xmlns:cdr="http://schemas.openxmlformats.org/drawingml/2006/chartDrawing">
    <cdr:from>
      <cdr:x>0.04975</cdr:x>
      <cdr:y>0</cdr:y>
    </cdr:from>
    <cdr:to>
      <cdr:x>0.1148</cdr:x>
      <cdr:y>0.75592</cdr:y>
    </cdr:to>
    <cdr:sp macro="" textlink="">
      <cdr:nvSpPr>
        <cdr:cNvPr id="3" name="TextBox 1"/>
        <cdr:cNvSpPr txBox="1"/>
      </cdr:nvSpPr>
      <cdr:spPr>
        <a:xfrm xmlns:a="http://schemas.openxmlformats.org/drawingml/2006/main" rot="16200000">
          <a:off x="-813644" y="999327"/>
          <a:ext cx="2241426" cy="24277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Biomass </a:t>
          </a:r>
          <a:r>
            <a:rPr lang="en-US" sz="1400">
              <a:latin typeface="Arial" panose="020B0604020202020204" pitchFamily="34" charset="0"/>
              <a:cs typeface="Arial" panose="020B0604020202020204" pitchFamily="34" charset="0"/>
            </a:rPr>
            <a:t>(g/m</a:t>
          </a:r>
          <a:r>
            <a:rPr lang="en-US" sz="1400" baseline="30000">
              <a:latin typeface="Arial" panose="020B0604020202020204" pitchFamily="34" charset="0"/>
              <a:cs typeface="Arial" panose="020B0604020202020204" pitchFamily="34" charset="0"/>
            </a:rPr>
            <a:t>2</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0.0312</cdr:x>
      <cdr:y>0.16884</cdr:y>
    </cdr:from>
    <cdr:to>
      <cdr:x>0.09841</cdr:x>
      <cdr:y>0.61726</cdr:y>
    </cdr:to>
    <cdr:sp macro="" textlink="">
      <cdr:nvSpPr>
        <cdr:cNvPr id="3" name="TextBox 1"/>
        <cdr:cNvSpPr txBox="1"/>
      </cdr:nvSpPr>
      <cdr:spPr>
        <a:xfrm xmlns:a="http://schemas.openxmlformats.org/drawingml/2006/main" rot="16200000">
          <a:off x="-408688" y="1018004"/>
          <a:ext cx="1305952" cy="2533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baseline="0">
              <a:latin typeface="Arial" panose="020B0604020202020204" pitchFamily="34" charset="0"/>
              <a:cs typeface="Arial" panose="020B0604020202020204" pitchFamily="34" charset="0"/>
            </a:rPr>
            <a:t>Age (years)</a:t>
          </a:r>
          <a:endParaRPr lang="en-US" sz="14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0.26799</cdr:x>
      <cdr:y>0.89108</cdr:y>
    </cdr:from>
    <cdr:to>
      <cdr:x>0.91731</cdr:x>
      <cdr:y>0.99405</cdr:y>
    </cdr:to>
    <cdr:sp macro="" textlink="">
      <cdr:nvSpPr>
        <cdr:cNvPr id="8" name="TextBox 1"/>
        <cdr:cNvSpPr txBox="1"/>
      </cdr:nvSpPr>
      <cdr:spPr>
        <a:xfrm xmlns:a="http://schemas.openxmlformats.org/drawingml/2006/main">
          <a:off x="1010228" y="2595133"/>
          <a:ext cx="2447637" cy="29989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 </a:t>
          </a:r>
          <a:endParaRPr lang="en-US" sz="1600">
            <a:latin typeface="Arial" panose="020B0604020202020204" pitchFamily="34" charset="0"/>
            <a:cs typeface="Arial" panose="020B0604020202020204" pitchFamily="34" charset="0"/>
          </a:endParaRPr>
        </a:p>
      </cdr:txBody>
    </cdr:sp>
  </cdr:relSizeAnchor>
  <cdr:relSizeAnchor xmlns:cdr="http://schemas.openxmlformats.org/drawingml/2006/chartDrawing">
    <cdr:from>
      <cdr:x>0.6323</cdr:x>
      <cdr:y>0.60821</cdr:y>
    </cdr:from>
    <cdr:to>
      <cdr:x>1</cdr:x>
      <cdr:y>0.70059</cdr:y>
    </cdr:to>
    <cdr:sp macro="" textlink="">
      <cdr:nvSpPr>
        <cdr:cNvPr id="10" name="TextBox 9"/>
        <cdr:cNvSpPr txBox="1"/>
      </cdr:nvSpPr>
      <cdr:spPr>
        <a:xfrm xmlns:a="http://schemas.openxmlformats.org/drawingml/2006/main">
          <a:off x="2246922" y="1929423"/>
          <a:ext cx="1306636" cy="29307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5.xml><?xml version="1.0" encoding="utf-8"?>
<c:userShapes xmlns:c="http://schemas.openxmlformats.org/drawingml/2006/chart">
  <cdr:relSizeAnchor xmlns:cdr="http://schemas.openxmlformats.org/drawingml/2006/chartDrawing">
    <cdr:from>
      <cdr:x>0.36458</cdr:x>
      <cdr:y>0.89901</cdr:y>
    </cdr:from>
    <cdr:to>
      <cdr:x>0.81667</cdr:x>
      <cdr:y>0.99392</cdr:y>
    </cdr:to>
    <cdr:sp macro="" textlink="">
      <cdr:nvSpPr>
        <cdr:cNvPr id="2" name="TextBox 1"/>
        <cdr:cNvSpPr txBox="1"/>
      </cdr:nvSpPr>
      <cdr:spPr>
        <a:xfrm xmlns:a="http://schemas.openxmlformats.org/drawingml/2006/main">
          <a:off x="1666875" y="2817248"/>
          <a:ext cx="2066925" cy="29742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0.01927</cdr:x>
      <cdr:y>0.10731</cdr:y>
    </cdr:from>
    <cdr:to>
      <cdr:x>0.08039</cdr:x>
      <cdr:y>0.83146</cdr:y>
    </cdr:to>
    <cdr:sp macro="" textlink="">
      <cdr:nvSpPr>
        <cdr:cNvPr id="3" name="TextBox 1"/>
        <cdr:cNvSpPr txBox="1"/>
      </cdr:nvSpPr>
      <cdr:spPr>
        <a:xfrm xmlns:a="http://schemas.openxmlformats.org/drawingml/2006/main" rot="16200000">
          <a:off x="-862770" y="1240718"/>
          <a:ext cx="2083385" cy="21943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OM concentration (%)</a:t>
          </a:r>
        </a:p>
      </cdr:txBody>
    </cdr:sp>
  </cdr:relSizeAnchor>
</c:userShapes>
</file>

<file path=xl/drawings/drawing6.xml><?xml version="1.0" encoding="utf-8"?>
<c:userShapes xmlns:c="http://schemas.openxmlformats.org/drawingml/2006/chart">
  <cdr:relSizeAnchor xmlns:cdr="http://schemas.openxmlformats.org/drawingml/2006/chartDrawing">
    <cdr:from>
      <cdr:x>0.02426</cdr:x>
      <cdr:y>0.00965</cdr:y>
    </cdr:from>
    <cdr:to>
      <cdr:x>0.09469</cdr:x>
      <cdr:y>0.95385</cdr:y>
    </cdr:to>
    <cdr:sp macro="" textlink="">
      <cdr:nvSpPr>
        <cdr:cNvPr id="3" name="TextBox 1"/>
        <cdr:cNvSpPr txBox="1"/>
      </cdr:nvSpPr>
      <cdr:spPr>
        <a:xfrm xmlns:a="http://schemas.openxmlformats.org/drawingml/2006/main" rot="16200000">
          <a:off x="-1118272" y="1231208"/>
          <a:ext cx="2657144" cy="24904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000" baseline="0"/>
            <a:t>  </a:t>
          </a:r>
          <a:r>
            <a:rPr lang="en-US" sz="1200" baseline="0"/>
            <a:t>Organic Matter (</a:t>
          </a:r>
          <a:r>
            <a:rPr lang="en-US" sz="1200"/>
            <a:t>g/m</a:t>
          </a:r>
          <a:r>
            <a:rPr lang="en-US" sz="1200" baseline="30000"/>
            <a:t>2</a:t>
          </a:r>
          <a:r>
            <a:rPr lang="en-US" sz="1200" baseline="0"/>
            <a:t> </a:t>
          </a:r>
          <a:r>
            <a:rPr lang="en-US" sz="1200"/>
            <a:t>per 1 cm slice)</a:t>
          </a:r>
        </a:p>
      </cdr:txBody>
    </cdr:sp>
  </cdr:relSizeAnchor>
  <cdr:relSizeAnchor xmlns:cdr="http://schemas.openxmlformats.org/drawingml/2006/chartDrawing">
    <cdr:from>
      <cdr:x>0.34197</cdr:x>
      <cdr:y>0.90509</cdr:y>
    </cdr:from>
    <cdr:to>
      <cdr:x>0.79406</cdr:x>
      <cdr:y>1</cdr:y>
    </cdr:to>
    <cdr:sp macro="" textlink="">
      <cdr:nvSpPr>
        <cdr:cNvPr id="4" name="TextBox 1"/>
        <cdr:cNvSpPr txBox="1"/>
      </cdr:nvSpPr>
      <cdr:spPr>
        <a:xfrm xmlns:a="http://schemas.openxmlformats.org/drawingml/2006/main">
          <a:off x="1571369" y="2664909"/>
          <a:ext cx="2077395" cy="27944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0.61682</cdr:x>
      <cdr:y>0.62643</cdr:y>
    </cdr:from>
    <cdr:to>
      <cdr:x>0.88955</cdr:x>
      <cdr:y>0.72363</cdr:y>
    </cdr:to>
    <cdr:sp macro="" textlink="">
      <cdr:nvSpPr>
        <cdr:cNvPr id="6" name="TextBox 5"/>
        <cdr:cNvSpPr txBox="1"/>
      </cdr:nvSpPr>
      <cdr:spPr>
        <a:xfrm xmlns:a="http://schemas.openxmlformats.org/drawingml/2006/main">
          <a:off x="2477459" y="1899194"/>
          <a:ext cx="1095416" cy="2946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a:solidFill>
                <a:schemeClr val="accent6">
                  <a:lumMod val="60000"/>
                  <a:lumOff val="40000"/>
                </a:schemeClr>
              </a:solidFill>
              <a:latin typeface="Arial" panose="020B0604020202020204" pitchFamily="34" charset="0"/>
              <a:cs typeface="Arial" panose="020B0604020202020204" pitchFamily="34" charset="0"/>
            </a:rPr>
            <a:t>●</a:t>
          </a:r>
          <a:r>
            <a:rPr lang="en-US" sz="1400">
              <a:latin typeface="Arial" panose="020B0604020202020204" pitchFamily="34" charset="0"/>
              <a:cs typeface="Arial" panose="020B0604020202020204" pitchFamily="34" charset="0"/>
            </a:rPr>
            <a:t>Labile</a:t>
          </a:r>
          <a:r>
            <a:rPr lang="en-US" sz="1400" baseline="0">
              <a:latin typeface="Arial" panose="020B0604020202020204" pitchFamily="34" charset="0"/>
              <a:cs typeface="Arial" panose="020B0604020202020204" pitchFamily="34" charset="0"/>
            </a:rPr>
            <a:t> OM</a:t>
          </a:r>
          <a:endParaRPr lang="en-US" sz="1400">
            <a:latin typeface="Arial" panose="020B0604020202020204" pitchFamily="34" charset="0"/>
            <a:cs typeface="Arial" panose="020B0604020202020204" pitchFamily="34" charset="0"/>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0.26496</cdr:x>
      <cdr:y>0.89901</cdr:y>
    </cdr:from>
    <cdr:to>
      <cdr:x>0.81667</cdr:x>
      <cdr:y>0.98724</cdr:y>
    </cdr:to>
    <cdr:sp macro="" textlink="">
      <cdr:nvSpPr>
        <cdr:cNvPr id="2" name="TextBox 1"/>
        <cdr:cNvSpPr txBox="1"/>
      </cdr:nvSpPr>
      <cdr:spPr>
        <a:xfrm xmlns:a="http://schemas.openxmlformats.org/drawingml/2006/main">
          <a:off x="894771" y="2644174"/>
          <a:ext cx="1863160" cy="25951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0.0126</cdr:x>
      <cdr:y>0.05548</cdr:y>
    </cdr:from>
    <cdr:to>
      <cdr:x>0.07402</cdr:x>
      <cdr:y>0.96715</cdr:y>
    </cdr:to>
    <cdr:sp macro="" textlink="">
      <cdr:nvSpPr>
        <cdr:cNvPr id="3" name="TextBox 1"/>
        <cdr:cNvSpPr txBox="1"/>
      </cdr:nvSpPr>
      <cdr:spPr>
        <a:xfrm xmlns:a="http://schemas.openxmlformats.org/drawingml/2006/main" rot="16200000">
          <a:off x="-1122736" y="1324902"/>
          <a:ext cx="2562978" cy="22513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Inorganic Sediment (g/cm2)</a:t>
          </a:r>
        </a:p>
      </cdr:txBody>
    </cdr:sp>
  </cdr:relSizeAnchor>
</c:userShapes>
</file>

<file path=xl/drawings/drawing8.xml><?xml version="1.0" encoding="utf-8"?>
<c:userShapes xmlns:c="http://schemas.openxmlformats.org/drawingml/2006/chart">
  <cdr:relSizeAnchor xmlns:cdr="http://schemas.openxmlformats.org/drawingml/2006/chartDrawing">
    <cdr:from>
      <cdr:x>0.34988</cdr:x>
      <cdr:y>0.82664</cdr:y>
    </cdr:from>
    <cdr:to>
      <cdr:x>0.80197</cdr:x>
      <cdr:y>0.92155</cdr:y>
    </cdr:to>
    <cdr:sp macro="" textlink="">
      <cdr:nvSpPr>
        <cdr:cNvPr id="2" name="TextBox 1"/>
        <cdr:cNvSpPr txBox="1"/>
      </cdr:nvSpPr>
      <cdr:spPr>
        <a:xfrm xmlns:a="http://schemas.openxmlformats.org/drawingml/2006/main">
          <a:off x="1397069" y="2458057"/>
          <a:ext cx="1805177" cy="28221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0.00059</cdr:x>
      <cdr:y>0.26805</cdr:y>
    </cdr:from>
    <cdr:to>
      <cdr:x>0.08144</cdr:x>
      <cdr:y>0.56972</cdr:y>
    </cdr:to>
    <cdr:sp macro="" textlink="">
      <cdr:nvSpPr>
        <cdr:cNvPr id="3" name="TextBox 1"/>
        <cdr:cNvSpPr txBox="1"/>
      </cdr:nvSpPr>
      <cdr:spPr>
        <a:xfrm xmlns:a="http://schemas.openxmlformats.org/drawingml/2006/main" rot="16200000">
          <a:off x="-275958" y="1059741"/>
          <a:ext cx="879436" cy="32278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Years</a:t>
          </a:r>
        </a:p>
      </cdr:txBody>
    </cdr:sp>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0.06505</cdr:x>
      <cdr:y>0.72847</cdr:y>
    </cdr:to>
    <cdr:sp macro="" textlink="">
      <cdr:nvSpPr>
        <cdr:cNvPr id="3" name="TextBox 1"/>
        <cdr:cNvSpPr txBox="1"/>
      </cdr:nvSpPr>
      <cdr:spPr>
        <a:xfrm xmlns:a="http://schemas.openxmlformats.org/drawingml/2006/main" rot="16200000">
          <a:off x="-967947" y="967947"/>
          <a:ext cx="2176222" cy="24032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Bulk Density  (g/cm</a:t>
          </a:r>
          <a:r>
            <a:rPr lang="en-US" sz="1400" baseline="30000">
              <a:latin typeface="Arial" panose="020B0604020202020204" pitchFamily="34" charset="0"/>
              <a:cs typeface="Arial" panose="020B0604020202020204" pitchFamily="34" charset="0"/>
            </a:rPr>
            <a:t>3</a:t>
          </a:r>
          <a:r>
            <a:rPr lang="en-US" sz="1400">
              <a:latin typeface="Arial" panose="020B0604020202020204" pitchFamily="34" charset="0"/>
              <a:cs typeface="Arial" panose="020B0604020202020204" pitchFamily="34" charset="0"/>
            </a:rPr>
            <a:t>)</a:t>
          </a:r>
        </a:p>
      </cdr:txBody>
    </cdr:sp>
  </cdr:relSizeAnchor>
  <cdr:relSizeAnchor xmlns:cdr="http://schemas.openxmlformats.org/drawingml/2006/chartDrawing">
    <cdr:from>
      <cdr:x>0.21656</cdr:x>
      <cdr:y>0.90692</cdr:y>
    </cdr:from>
    <cdr:to>
      <cdr:x>0.77625</cdr:x>
      <cdr:y>1</cdr:y>
    </cdr:to>
    <cdr:sp macro="" textlink="">
      <cdr:nvSpPr>
        <cdr:cNvPr id="4" name="TextBox 1"/>
        <cdr:cNvSpPr txBox="1"/>
      </cdr:nvSpPr>
      <cdr:spPr>
        <a:xfrm xmlns:a="http://schemas.openxmlformats.org/drawingml/2006/main">
          <a:off x="726330" y="2649103"/>
          <a:ext cx="1877169" cy="27189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userShapes>
</file>

<file path=xl/drawings/drawing10.xml><?xml version="1.0" encoding="utf-8"?>
<c:userShapes xmlns:c="http://schemas.openxmlformats.org/drawingml/2006/chart">
  <cdr:relSizeAnchor xmlns:cdr="http://schemas.openxmlformats.org/drawingml/2006/chartDrawing">
    <cdr:from>
      <cdr:x>0.36458</cdr:x>
      <cdr:y>0.89901</cdr:y>
    </cdr:from>
    <cdr:to>
      <cdr:x>0.86544</cdr:x>
      <cdr:y>0.99289</cdr:y>
    </cdr:to>
    <cdr:sp macro="" textlink="">
      <cdr:nvSpPr>
        <cdr:cNvPr id="2" name="TextBox 1"/>
        <cdr:cNvSpPr txBox="1"/>
      </cdr:nvSpPr>
      <cdr:spPr>
        <a:xfrm xmlns:a="http://schemas.openxmlformats.org/drawingml/2006/main">
          <a:off x="1376422" y="2665710"/>
          <a:ext cx="1890942" cy="27838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400">
              <a:latin typeface="Arial" panose="020B0604020202020204" pitchFamily="34" charset="0"/>
              <a:cs typeface="Arial" panose="020B0604020202020204" pitchFamily="34" charset="0"/>
            </a:rPr>
            <a:t>Sediment Depth (cm)</a:t>
          </a:r>
        </a:p>
      </cdr:txBody>
    </cdr:sp>
  </cdr:relSizeAnchor>
  <cdr:relSizeAnchor xmlns:cdr="http://schemas.openxmlformats.org/drawingml/2006/chartDrawing">
    <cdr:from>
      <cdr:x>0</cdr:x>
      <cdr:y>0.05346</cdr:y>
    </cdr:from>
    <cdr:to>
      <cdr:x>0.06797</cdr:x>
      <cdr:y>0.71525</cdr:y>
    </cdr:to>
    <cdr:sp macro="" textlink="">
      <cdr:nvSpPr>
        <cdr:cNvPr id="3" name="TextBox 1"/>
        <cdr:cNvSpPr txBox="1"/>
      </cdr:nvSpPr>
      <cdr:spPr>
        <a:xfrm xmlns:a="http://schemas.openxmlformats.org/drawingml/2006/main" rot="16200000">
          <a:off x="-878915" y="1039895"/>
          <a:ext cx="1992876" cy="235046"/>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400">
              <a:latin typeface="Arial" panose="020B0604020202020204" pitchFamily="34" charset="0"/>
              <a:cs typeface="Arial" panose="020B0604020202020204" pitchFamily="34" charset="0"/>
            </a:rPr>
            <a:t>Decay (g</a:t>
          </a:r>
          <a:r>
            <a:rPr lang="en-US" sz="1400" baseline="0">
              <a:latin typeface="Arial" panose="020B0604020202020204" pitchFamily="34" charset="0"/>
              <a:cs typeface="Arial" panose="020B0604020202020204" pitchFamily="34" charset="0"/>
            </a:rPr>
            <a:t> m</a:t>
          </a:r>
          <a:r>
            <a:rPr lang="en-US" sz="1400" baseline="30000">
              <a:latin typeface="Arial" panose="020B0604020202020204" pitchFamily="34" charset="0"/>
              <a:cs typeface="Arial" panose="020B0604020202020204" pitchFamily="34" charset="0"/>
            </a:rPr>
            <a:t>-2 </a:t>
          </a:r>
          <a:r>
            <a:rPr lang="en-US" sz="1400" baseline="0">
              <a:latin typeface="Arial" panose="020B0604020202020204" pitchFamily="34" charset="0"/>
              <a:cs typeface="Arial" panose="020B0604020202020204" pitchFamily="34" charset="0"/>
            </a:rPr>
            <a:t>yr</a:t>
          </a:r>
          <a:r>
            <a:rPr lang="en-US" sz="1400" baseline="30000">
              <a:latin typeface="Arial" panose="020B0604020202020204" pitchFamily="34" charset="0"/>
              <a:cs typeface="Arial" panose="020B0604020202020204" pitchFamily="34" charset="0"/>
            </a:rPr>
            <a:t>-1</a:t>
          </a:r>
          <a:r>
            <a:rPr lang="en-US" sz="1400" baseline="0">
              <a:latin typeface="Arial" panose="020B0604020202020204" pitchFamily="34" charset="0"/>
              <a:cs typeface="Arial" panose="020B0604020202020204" pitchFamily="34" charset="0"/>
            </a:rPr>
            <a:t>)</a:t>
          </a:r>
          <a:endParaRPr lang="en-US" sz="1400">
            <a:latin typeface="Arial" panose="020B0604020202020204" pitchFamily="34" charset="0"/>
            <a:cs typeface="Arial" panose="020B0604020202020204" pitchFamily="34" charset="0"/>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153"/>
  <sheetViews>
    <sheetView showGridLines="0" tabSelected="1" zoomScale="78" zoomScaleNormal="78" workbookViewId="0">
      <selection activeCell="C6" sqref="C6"/>
    </sheetView>
  </sheetViews>
  <sheetFormatPr defaultColWidth="11.7109375" defaultRowHeight="15" x14ac:dyDescent="0.25"/>
  <cols>
    <col min="1" max="1" width="5.7109375" style="72" customWidth="1"/>
    <col min="2" max="2" width="9.140625" customWidth="1"/>
    <col min="3" max="4" width="9.7109375" customWidth="1"/>
    <col min="5" max="5" width="36" customWidth="1"/>
    <col min="7" max="7" width="11.28515625" style="8" customWidth="1"/>
    <col min="8" max="8" width="10.42578125" style="3" customWidth="1"/>
    <col min="9" max="9" width="12.140625" customWidth="1"/>
    <col min="10" max="10" width="10.85546875" style="3" customWidth="1"/>
    <col min="11" max="11" width="6.85546875" style="4" customWidth="1"/>
    <col min="12" max="12" width="21.85546875" style="1" customWidth="1"/>
    <col min="13" max="13" width="7.85546875" style="1" customWidth="1"/>
    <col min="14" max="14" width="22.7109375" style="8" customWidth="1"/>
    <col min="15" max="15" width="8.140625" style="4" customWidth="1"/>
    <col min="16" max="16" width="7.7109375" style="4" customWidth="1"/>
    <col min="17" max="17" width="9.7109375" style="4" customWidth="1"/>
    <col min="18" max="18" width="12.42578125" style="5" customWidth="1"/>
    <col min="23" max="23" width="15.140625" customWidth="1"/>
  </cols>
  <sheetData>
    <row r="1" spans="1:26" ht="27" customHeight="1" thickBot="1" x14ac:dyDescent="0.4">
      <c r="B1" s="92" t="s">
        <v>61</v>
      </c>
      <c r="C1" s="93"/>
      <c r="D1" s="93"/>
      <c r="E1" s="93"/>
      <c r="F1" s="114" t="s">
        <v>23</v>
      </c>
      <c r="G1" s="115"/>
      <c r="H1" s="115"/>
      <c r="I1" s="115"/>
      <c r="J1" s="115"/>
      <c r="K1" s="115"/>
      <c r="L1" s="23"/>
      <c r="M1" s="23"/>
      <c r="N1" s="23"/>
      <c r="O1" s="23"/>
      <c r="P1" s="23"/>
    </row>
    <row r="2" spans="1:26" ht="62.25" customHeight="1" x14ac:dyDescent="0.3">
      <c r="B2" s="94" t="s">
        <v>45</v>
      </c>
      <c r="C2" s="95"/>
      <c r="D2" s="95"/>
      <c r="E2" s="89" t="s">
        <v>47</v>
      </c>
      <c r="F2" s="99" t="s">
        <v>29</v>
      </c>
      <c r="G2" s="100"/>
      <c r="H2" s="100"/>
      <c r="I2" s="100"/>
      <c r="J2" s="100"/>
      <c r="K2" s="101"/>
      <c r="L2" s="111" t="s">
        <v>36</v>
      </c>
      <c r="M2" s="112"/>
      <c r="N2" s="113"/>
      <c r="O2" s="57"/>
    </row>
    <row r="3" spans="1:26" ht="15" customHeight="1" x14ac:dyDescent="0.3">
      <c r="B3" s="15" t="s">
        <v>0</v>
      </c>
      <c r="C3" s="85">
        <v>30</v>
      </c>
      <c r="D3" s="83" t="s">
        <v>21</v>
      </c>
      <c r="E3" s="16" t="s">
        <v>11</v>
      </c>
      <c r="F3" s="10"/>
      <c r="G3" s="33" t="s">
        <v>67</v>
      </c>
      <c r="H3" s="33" t="s">
        <v>38</v>
      </c>
      <c r="I3" s="33" t="s">
        <v>68</v>
      </c>
      <c r="J3" s="11"/>
      <c r="K3" s="10"/>
      <c r="L3" s="58" t="s">
        <v>26</v>
      </c>
      <c r="M3" s="69">
        <v>1.8840082766775053</v>
      </c>
      <c r="N3" s="88" t="s">
        <v>33</v>
      </c>
      <c r="O3" s="52"/>
      <c r="P3" s="56"/>
      <c r="Q3" s="52"/>
      <c r="S3" s="32"/>
      <c r="T3" s="97"/>
      <c r="U3" s="98"/>
      <c r="V3" s="22"/>
      <c r="W3" s="17"/>
      <c r="X3" s="9"/>
      <c r="Y3" s="9"/>
      <c r="Z3" s="9"/>
    </row>
    <row r="4" spans="1:26" ht="18.75" x14ac:dyDescent="0.3">
      <c r="B4" s="15" t="s">
        <v>1</v>
      </c>
      <c r="C4" s="85">
        <v>1000</v>
      </c>
      <c r="D4" s="83" t="s">
        <v>7</v>
      </c>
      <c r="E4" s="16" t="s">
        <v>12</v>
      </c>
      <c r="F4" s="12" t="s">
        <v>57</v>
      </c>
      <c r="G4" s="65">
        <v>399.97559232401335</v>
      </c>
      <c r="H4" s="13">
        <v>499.96977294724064</v>
      </c>
      <c r="I4" s="13">
        <v>99.993954589448137</v>
      </c>
      <c r="J4" s="13" t="s">
        <v>35</v>
      </c>
      <c r="K4" s="10"/>
      <c r="L4" s="59" t="s">
        <v>25</v>
      </c>
      <c r="M4" s="70">
        <v>0.80670165630180346</v>
      </c>
      <c r="N4" s="87"/>
      <c r="O4" s="52"/>
      <c r="P4" s="56"/>
      <c r="Q4" s="52"/>
      <c r="S4" s="32"/>
      <c r="T4" s="97"/>
      <c r="U4" s="98"/>
      <c r="V4" s="22"/>
      <c r="W4" s="17"/>
      <c r="X4" s="9"/>
      <c r="Y4" s="9"/>
      <c r="Z4" s="9"/>
    </row>
    <row r="5" spans="1:26" ht="18.75" x14ac:dyDescent="0.3">
      <c r="B5" s="15" t="s">
        <v>2</v>
      </c>
      <c r="C5" s="85">
        <v>0.2</v>
      </c>
      <c r="D5" s="83" t="s">
        <v>14</v>
      </c>
      <c r="E5" s="16" t="s">
        <v>52</v>
      </c>
      <c r="F5" s="14" t="s">
        <v>60</v>
      </c>
      <c r="G5" s="13">
        <v>400.00000000000006</v>
      </c>
      <c r="H5" s="13">
        <v>500</v>
      </c>
      <c r="I5" s="13">
        <v>100.00000000000001</v>
      </c>
      <c r="J5" s="13" t="s">
        <v>35</v>
      </c>
      <c r="K5" s="10"/>
      <c r="L5" s="59" t="s">
        <v>41</v>
      </c>
      <c r="M5" s="70">
        <v>1.1158085057298264</v>
      </c>
      <c r="N5" s="87"/>
      <c r="O5" s="52"/>
      <c r="P5" s="56"/>
      <c r="Q5" s="52"/>
      <c r="S5" s="32"/>
      <c r="T5" s="97"/>
      <c r="U5" s="98"/>
      <c r="V5" s="22"/>
      <c r="W5" s="17"/>
      <c r="X5" s="9"/>
      <c r="Y5" s="9"/>
      <c r="Z5" s="9"/>
    </row>
    <row r="6" spans="1:26" ht="18.75" x14ac:dyDescent="0.3">
      <c r="B6" s="15" t="s">
        <v>54</v>
      </c>
      <c r="C6" s="85">
        <v>20</v>
      </c>
      <c r="D6" s="83" t="s">
        <v>9</v>
      </c>
      <c r="E6" s="63" t="s">
        <v>53</v>
      </c>
      <c r="F6" s="116" t="s">
        <v>44</v>
      </c>
      <c r="G6" s="117"/>
      <c r="H6" s="117"/>
      <c r="I6" s="117"/>
      <c r="J6" s="117"/>
      <c r="K6" s="118"/>
      <c r="L6" s="60" t="s">
        <v>46</v>
      </c>
      <c r="M6" s="70">
        <v>1.7060717174578324</v>
      </c>
      <c r="N6" s="87"/>
      <c r="O6" s="52"/>
      <c r="P6" s="91"/>
      <c r="Q6" s="52"/>
      <c r="S6" s="32"/>
      <c r="T6" s="22"/>
      <c r="U6" s="17"/>
      <c r="V6" s="22"/>
      <c r="W6" s="17"/>
      <c r="X6" s="9"/>
      <c r="Y6" s="9"/>
      <c r="Z6" s="9"/>
    </row>
    <row r="7" spans="1:26" ht="18.75" x14ac:dyDescent="0.3">
      <c r="B7" s="15" t="s">
        <v>55</v>
      </c>
      <c r="C7" s="85">
        <v>0.8</v>
      </c>
      <c r="D7" s="83" t="s">
        <v>13</v>
      </c>
      <c r="E7" s="63" t="s">
        <v>48</v>
      </c>
      <c r="F7" s="119"/>
      <c r="G7" s="120"/>
      <c r="H7" s="120"/>
      <c r="I7" s="120"/>
      <c r="J7" s="120"/>
      <c r="K7" s="121"/>
      <c r="L7" s="60" t="s">
        <v>27</v>
      </c>
      <c r="M7" s="71">
        <v>254.84160786219542</v>
      </c>
      <c r="N7" s="87" t="s">
        <v>28</v>
      </c>
      <c r="O7" s="52"/>
      <c r="P7" s="56"/>
      <c r="Q7" s="52"/>
      <c r="S7" s="32"/>
      <c r="T7" s="22"/>
      <c r="U7" s="17"/>
      <c r="V7" s="22"/>
      <c r="W7" s="17"/>
      <c r="X7" s="9"/>
      <c r="Y7" s="9"/>
      <c r="Z7" s="9"/>
    </row>
    <row r="8" spans="1:26" ht="15" customHeight="1" x14ac:dyDescent="0.3">
      <c r="A8" s="17"/>
      <c r="B8" s="78" t="s">
        <v>3</v>
      </c>
      <c r="C8" s="85">
        <v>0.5</v>
      </c>
      <c r="D8" s="83" t="s">
        <v>13</v>
      </c>
      <c r="E8" s="63" t="s">
        <v>49</v>
      </c>
      <c r="F8" s="122"/>
      <c r="G8" s="120"/>
      <c r="H8" s="120"/>
      <c r="I8" s="120"/>
      <c r="J8" s="120"/>
      <c r="K8" s="121"/>
      <c r="L8" s="60" t="s">
        <v>42</v>
      </c>
      <c r="M8" s="71">
        <v>52</v>
      </c>
      <c r="N8" s="90" t="s">
        <v>69</v>
      </c>
      <c r="O8" s="52"/>
      <c r="P8" s="56"/>
      <c r="Q8" s="52"/>
      <c r="S8" s="32"/>
      <c r="T8" s="22"/>
      <c r="U8" s="17"/>
      <c r="V8" s="22"/>
      <c r="W8" s="17"/>
      <c r="X8" s="9"/>
      <c r="Y8" s="9"/>
      <c r="Z8" s="9"/>
    </row>
    <row r="9" spans="1:26" x14ac:dyDescent="0.25">
      <c r="A9" s="17"/>
      <c r="B9" s="78" t="s">
        <v>17</v>
      </c>
      <c r="C9" s="85">
        <v>10</v>
      </c>
      <c r="D9" s="83" t="s">
        <v>4</v>
      </c>
      <c r="E9" s="63" t="s">
        <v>50</v>
      </c>
      <c r="F9" s="122"/>
      <c r="G9" s="120"/>
      <c r="H9" s="120"/>
      <c r="I9" s="120"/>
      <c r="J9" s="120"/>
      <c r="K9" s="121"/>
      <c r="L9" s="102" t="s">
        <v>43</v>
      </c>
      <c r="M9" s="103"/>
      <c r="N9" s="104"/>
      <c r="O9" s="32"/>
      <c r="P9" s="32"/>
      <c r="Q9" s="32"/>
      <c r="S9" s="9"/>
      <c r="T9" s="9"/>
      <c r="U9" s="9"/>
      <c r="V9" s="9"/>
      <c r="W9" s="9"/>
      <c r="X9" s="9"/>
      <c r="Y9" s="9"/>
      <c r="Z9" s="9"/>
    </row>
    <row r="10" spans="1:26" x14ac:dyDescent="0.25">
      <c r="A10" s="17"/>
      <c r="B10" s="79" t="s">
        <v>39</v>
      </c>
      <c r="C10" s="86">
        <v>2015</v>
      </c>
      <c r="D10" s="84" t="s">
        <v>40</v>
      </c>
      <c r="E10" s="67" t="s">
        <v>51</v>
      </c>
      <c r="F10" s="120"/>
      <c r="G10" s="120"/>
      <c r="H10" s="120"/>
      <c r="I10" s="120"/>
      <c r="J10" s="120"/>
      <c r="K10" s="121"/>
      <c r="L10" s="105"/>
      <c r="M10" s="106"/>
      <c r="N10" s="107"/>
      <c r="O10" s="32"/>
      <c r="P10" s="32"/>
      <c r="Q10"/>
      <c r="S10" s="17"/>
      <c r="T10" s="96"/>
      <c r="U10" s="96"/>
      <c r="V10" s="96"/>
      <c r="W10" s="96"/>
      <c r="X10" s="17"/>
      <c r="Y10" s="9"/>
      <c r="Z10" s="9"/>
    </row>
    <row r="11" spans="1:26" ht="15" customHeight="1" x14ac:dyDescent="0.25">
      <c r="A11" s="82"/>
      <c r="B11" s="80" t="s">
        <v>5</v>
      </c>
      <c r="C11" s="73">
        <v>8.5000000000000006E-2</v>
      </c>
      <c r="D11" s="74" t="s">
        <v>15</v>
      </c>
      <c r="E11" s="74" t="s">
        <v>16</v>
      </c>
      <c r="F11" s="122"/>
      <c r="G11" s="120"/>
      <c r="H11" s="120"/>
      <c r="I11" s="120"/>
      <c r="J11" s="120"/>
      <c r="K11" s="121"/>
      <c r="L11" s="105"/>
      <c r="M11" s="106"/>
      <c r="N11" s="107"/>
      <c r="O11" s="32"/>
      <c r="P11" s="32"/>
      <c r="Q11" s="32"/>
      <c r="S11" s="17"/>
      <c r="T11" s="18"/>
      <c r="U11" s="18"/>
      <c r="V11" s="18"/>
      <c r="W11" s="18"/>
      <c r="X11" s="17"/>
      <c r="Y11" s="9"/>
      <c r="Z11" s="9"/>
    </row>
    <row r="12" spans="1:26" x14ac:dyDescent="0.25">
      <c r="A12" s="82"/>
      <c r="B12" s="75" t="s">
        <v>6</v>
      </c>
      <c r="C12" s="76">
        <v>1.99</v>
      </c>
      <c r="D12" s="77" t="s">
        <v>15</v>
      </c>
      <c r="E12" s="77" t="s">
        <v>56</v>
      </c>
      <c r="F12" s="122"/>
      <c r="G12" s="120"/>
      <c r="H12" s="120"/>
      <c r="I12" s="120"/>
      <c r="J12" s="120"/>
      <c r="K12" s="121"/>
      <c r="L12" s="105"/>
      <c r="M12" s="106"/>
      <c r="N12" s="107"/>
      <c r="O12" s="32"/>
      <c r="P12" s="32"/>
      <c r="Q12" s="32"/>
      <c r="S12" s="19"/>
      <c r="T12" s="20"/>
      <c r="U12" s="20"/>
      <c r="V12" s="20"/>
      <c r="W12" s="20"/>
      <c r="X12" s="17"/>
      <c r="Y12" s="9"/>
      <c r="Z12" s="9"/>
    </row>
    <row r="13" spans="1:26" x14ac:dyDescent="0.25">
      <c r="A13" s="82"/>
      <c r="B13" s="81"/>
      <c r="C13" s="35"/>
      <c r="D13" s="35"/>
      <c r="E13" s="35"/>
      <c r="F13" s="123"/>
      <c r="G13" s="124"/>
      <c r="H13" s="124"/>
      <c r="I13" s="124"/>
      <c r="J13" s="124"/>
      <c r="K13" s="125"/>
      <c r="L13" s="108"/>
      <c r="M13" s="109"/>
      <c r="N13" s="110"/>
      <c r="O13" s="32"/>
      <c r="P13" s="32"/>
      <c r="Q13" s="32"/>
      <c r="S13" s="21"/>
      <c r="T13" s="17"/>
      <c r="U13" s="17"/>
      <c r="V13" s="17"/>
      <c r="W13" s="17"/>
      <c r="X13" s="17"/>
      <c r="Y13" s="9"/>
      <c r="Z13" s="9"/>
    </row>
    <row r="14" spans="1:26" x14ac:dyDescent="0.25">
      <c r="B14" s="34"/>
      <c r="C14" s="34"/>
      <c r="D14" s="35"/>
      <c r="E14" s="36"/>
      <c r="F14" s="35"/>
      <c r="G14" s="37"/>
      <c r="H14" s="38"/>
      <c r="I14" s="39"/>
      <c r="J14" s="38"/>
      <c r="K14" s="40"/>
      <c r="L14" s="39"/>
      <c r="M14" s="39"/>
      <c r="N14" s="61"/>
      <c r="P14" s="1"/>
      <c r="S14" s="17"/>
      <c r="T14" s="17"/>
      <c r="U14" s="17"/>
      <c r="V14" s="17"/>
      <c r="W14" s="17"/>
      <c r="X14" s="17"/>
      <c r="Y14" s="9"/>
      <c r="Z14" s="9"/>
    </row>
    <row r="15" spans="1:26" x14ac:dyDescent="0.25">
      <c r="B15" s="35"/>
      <c r="C15" s="35"/>
      <c r="D15" s="35"/>
      <c r="E15" s="35"/>
      <c r="F15" s="35"/>
      <c r="G15" s="37"/>
      <c r="H15" s="38"/>
      <c r="I15" s="39"/>
      <c r="J15" s="38"/>
      <c r="K15" s="40"/>
      <c r="L15" s="39"/>
      <c r="M15" s="39"/>
      <c r="N15" s="61"/>
      <c r="P15" s="1"/>
      <c r="S15" s="17"/>
      <c r="T15" s="17"/>
      <c r="U15" s="17"/>
      <c r="V15" s="17"/>
      <c r="W15" s="17"/>
      <c r="X15" s="17"/>
      <c r="Y15" s="9"/>
      <c r="Z15" s="9"/>
    </row>
    <row r="16" spans="1:26" x14ac:dyDescent="0.25">
      <c r="B16" s="35"/>
      <c r="C16" s="35"/>
      <c r="D16" s="35"/>
      <c r="E16" s="35"/>
      <c r="F16" s="35"/>
      <c r="G16" s="37"/>
      <c r="H16" s="38"/>
      <c r="I16" s="39"/>
      <c r="J16" s="38"/>
      <c r="K16" s="40"/>
      <c r="L16" s="39"/>
      <c r="M16" s="39"/>
      <c r="N16" s="61"/>
      <c r="P16" s="1"/>
      <c r="S16" s="17"/>
      <c r="T16" s="17"/>
      <c r="U16" s="17"/>
      <c r="V16" s="17"/>
      <c r="W16" s="17"/>
      <c r="X16" s="17"/>
      <c r="Y16" s="9"/>
      <c r="Z16" s="9"/>
    </row>
    <row r="17" spans="2:26" x14ac:dyDescent="0.25">
      <c r="B17" s="35"/>
      <c r="C17" s="35"/>
      <c r="D17" s="35"/>
      <c r="E17" s="35"/>
      <c r="F17" s="35"/>
      <c r="G17" s="37"/>
      <c r="H17" s="38"/>
      <c r="I17" s="39"/>
      <c r="J17" s="38"/>
      <c r="K17" s="40"/>
      <c r="L17" s="39"/>
      <c r="M17" s="39"/>
      <c r="N17" s="61"/>
      <c r="P17" s="1"/>
      <c r="S17" s="17"/>
      <c r="T17" s="17"/>
      <c r="U17" s="17"/>
      <c r="V17" s="17"/>
      <c r="W17" s="17"/>
      <c r="X17" s="17"/>
      <c r="Y17" s="9"/>
      <c r="Z17" s="9"/>
    </row>
    <row r="18" spans="2:26" x14ac:dyDescent="0.25">
      <c r="B18" s="35"/>
      <c r="C18" s="35"/>
      <c r="D18" s="35"/>
      <c r="E18" s="35"/>
      <c r="F18" s="35"/>
      <c r="G18" s="37"/>
      <c r="H18" s="38"/>
      <c r="I18" s="39"/>
      <c r="J18" s="38"/>
      <c r="K18" s="40"/>
      <c r="L18" s="39"/>
      <c r="M18" s="39"/>
      <c r="N18" s="61"/>
      <c r="P18" s="1"/>
      <c r="S18" s="17"/>
      <c r="T18" s="17"/>
      <c r="U18" s="17"/>
      <c r="V18" s="17"/>
      <c r="W18" s="17"/>
      <c r="X18" s="17"/>
      <c r="Y18" s="9"/>
      <c r="Z18" s="9"/>
    </row>
    <row r="19" spans="2:26" x14ac:dyDescent="0.25">
      <c r="B19" s="35"/>
      <c r="C19" s="35"/>
      <c r="D19" s="35"/>
      <c r="E19" s="35"/>
      <c r="F19" s="35"/>
      <c r="G19" s="37"/>
      <c r="H19" s="38"/>
      <c r="I19" s="39"/>
      <c r="J19" s="38"/>
      <c r="K19" s="40"/>
      <c r="L19" s="39"/>
      <c r="M19" s="39"/>
      <c r="N19" s="61"/>
      <c r="P19" s="1"/>
      <c r="S19" s="17"/>
      <c r="T19" s="17"/>
      <c r="U19" s="17"/>
      <c r="V19" s="17"/>
      <c r="W19" s="17"/>
      <c r="X19" s="17"/>
      <c r="Y19" s="9"/>
      <c r="Z19" s="9"/>
    </row>
    <row r="20" spans="2:26" x14ac:dyDescent="0.25">
      <c r="B20" s="35"/>
      <c r="C20" s="35"/>
      <c r="D20" s="35"/>
      <c r="E20" s="35"/>
      <c r="F20" s="35"/>
      <c r="G20" s="37"/>
      <c r="H20" s="38"/>
      <c r="I20" s="39"/>
      <c r="J20" s="38"/>
      <c r="K20" s="40"/>
      <c r="L20" s="39"/>
      <c r="M20" s="39"/>
      <c r="N20" s="61"/>
      <c r="P20" s="1"/>
      <c r="Q20" s="22"/>
      <c r="R20" s="64"/>
      <c r="S20" s="17"/>
      <c r="T20" s="17"/>
      <c r="U20" s="17"/>
      <c r="V20" s="17"/>
      <c r="W20" s="17"/>
      <c r="X20" s="17"/>
      <c r="Y20" s="9"/>
      <c r="Z20" s="9"/>
    </row>
    <row r="21" spans="2:26" x14ac:dyDescent="0.25">
      <c r="B21" s="35"/>
      <c r="C21" s="35"/>
      <c r="D21" s="35"/>
      <c r="E21" s="35"/>
      <c r="F21" s="35"/>
      <c r="G21" s="37"/>
      <c r="H21" s="38"/>
      <c r="I21" s="39"/>
      <c r="J21" s="38"/>
      <c r="K21" s="40"/>
      <c r="L21" s="39"/>
      <c r="M21" s="39"/>
      <c r="N21" s="61"/>
      <c r="P21" s="1"/>
      <c r="Q21" s="22"/>
      <c r="R21" s="64"/>
      <c r="S21" s="17"/>
      <c r="T21" s="17"/>
      <c r="U21" s="17"/>
      <c r="V21" s="17"/>
      <c r="W21" s="9"/>
      <c r="X21" s="9"/>
      <c r="Y21" s="9"/>
      <c r="Z21" s="9"/>
    </row>
    <row r="22" spans="2:26" x14ac:dyDescent="0.25">
      <c r="B22" s="35"/>
      <c r="C22" s="35"/>
      <c r="D22" s="35"/>
      <c r="E22" s="35"/>
      <c r="F22" s="35"/>
      <c r="G22" s="37"/>
      <c r="H22" s="38"/>
      <c r="I22" s="39"/>
      <c r="J22" s="38"/>
      <c r="K22" s="40"/>
      <c r="L22" s="39"/>
      <c r="M22" s="39"/>
      <c r="N22" s="61"/>
      <c r="P22" s="1"/>
      <c r="Q22" s="17"/>
      <c r="R22" s="17"/>
      <c r="S22" s="17"/>
      <c r="T22" s="17"/>
      <c r="U22" s="17"/>
      <c r="V22" s="17"/>
      <c r="W22" s="9"/>
      <c r="X22" s="9"/>
      <c r="Y22" s="9"/>
      <c r="Z22" s="9"/>
    </row>
    <row r="23" spans="2:26" x14ac:dyDescent="0.25">
      <c r="B23" s="35"/>
      <c r="C23" s="35"/>
      <c r="D23" s="35"/>
      <c r="E23" s="35"/>
      <c r="F23" s="35"/>
      <c r="G23" s="37"/>
      <c r="H23" s="38"/>
      <c r="I23" s="39"/>
      <c r="J23" s="38"/>
      <c r="K23" s="40"/>
      <c r="L23" s="39"/>
      <c r="M23" s="39"/>
      <c r="N23" s="61"/>
      <c r="P23" s="1"/>
      <c r="Q23" s="17"/>
      <c r="R23" s="17"/>
      <c r="S23" s="17"/>
      <c r="T23" s="17"/>
      <c r="U23" s="17"/>
      <c r="V23" s="17"/>
      <c r="W23" s="9"/>
      <c r="X23" s="9"/>
      <c r="Y23" s="9"/>
      <c r="Z23" s="9"/>
    </row>
    <row r="24" spans="2:26" x14ac:dyDescent="0.25">
      <c r="B24" s="35"/>
      <c r="C24" s="35"/>
      <c r="D24" s="35"/>
      <c r="E24" s="35"/>
      <c r="F24" s="35"/>
      <c r="G24" s="37"/>
      <c r="H24" s="38"/>
      <c r="I24" s="39"/>
      <c r="J24" s="38"/>
      <c r="K24" s="40"/>
      <c r="L24" s="39"/>
      <c r="M24" s="39"/>
      <c r="N24" s="61"/>
      <c r="P24" s="1"/>
      <c r="Q24" s="17"/>
      <c r="R24" s="17"/>
      <c r="S24" s="17"/>
      <c r="T24" s="17"/>
      <c r="U24" s="17"/>
      <c r="V24" s="17"/>
      <c r="W24" s="9"/>
      <c r="X24" s="9"/>
      <c r="Y24" s="9"/>
      <c r="Z24" s="9"/>
    </row>
    <row r="25" spans="2:26" x14ac:dyDescent="0.25">
      <c r="B25" s="35"/>
      <c r="C25" s="35"/>
      <c r="D25" s="35"/>
      <c r="E25" s="35"/>
      <c r="F25" s="35"/>
      <c r="G25" s="37"/>
      <c r="H25" s="38"/>
      <c r="I25" s="39"/>
      <c r="J25" s="38"/>
      <c r="K25" s="40"/>
      <c r="L25" s="39"/>
      <c r="M25" s="39"/>
      <c r="N25" s="61"/>
      <c r="P25" s="1"/>
      <c r="Q25" s="17"/>
      <c r="R25" s="17"/>
      <c r="S25" s="17"/>
      <c r="T25" s="17"/>
      <c r="U25" s="17"/>
      <c r="V25" s="17"/>
    </row>
    <row r="26" spans="2:26" x14ac:dyDescent="0.25">
      <c r="B26" s="35"/>
      <c r="C26" s="35"/>
      <c r="D26" s="35"/>
      <c r="E26" s="35"/>
      <c r="F26" s="35"/>
      <c r="G26" s="37"/>
      <c r="H26" s="38"/>
      <c r="I26" s="39"/>
      <c r="J26" s="38"/>
      <c r="K26" s="40"/>
      <c r="L26" s="39"/>
      <c r="M26" s="39"/>
      <c r="N26" s="61"/>
      <c r="P26" s="1"/>
      <c r="Q26" s="17"/>
      <c r="R26" s="17"/>
      <c r="S26" s="17"/>
      <c r="T26" s="17"/>
      <c r="U26" s="17"/>
      <c r="V26" s="17"/>
    </row>
    <row r="27" spans="2:26" x14ac:dyDescent="0.25">
      <c r="B27" s="35"/>
      <c r="C27" s="35"/>
      <c r="D27" s="35"/>
      <c r="E27" s="35"/>
      <c r="F27" s="35"/>
      <c r="G27" s="37"/>
      <c r="H27" s="38"/>
      <c r="I27" s="39"/>
      <c r="J27" s="38"/>
      <c r="K27" s="40"/>
      <c r="L27" s="39"/>
      <c r="M27" s="39"/>
      <c r="N27" s="61"/>
      <c r="P27" s="1"/>
      <c r="Q27" s="22"/>
      <c r="R27" s="64"/>
      <c r="S27" s="17"/>
      <c r="T27" s="17"/>
      <c r="U27" s="17"/>
      <c r="V27" s="17"/>
    </row>
    <row r="28" spans="2:26" x14ac:dyDescent="0.25">
      <c r="B28" s="35"/>
      <c r="C28" s="35"/>
      <c r="D28" s="35"/>
      <c r="E28" s="35"/>
      <c r="F28" s="35"/>
      <c r="G28" s="37"/>
      <c r="H28" s="38"/>
      <c r="I28" s="39"/>
      <c r="J28" s="38"/>
      <c r="K28" s="40"/>
      <c r="L28" s="39"/>
      <c r="M28" s="39"/>
      <c r="N28" s="61"/>
      <c r="O28" s="50"/>
      <c r="P28" s="1"/>
    </row>
    <row r="29" spans="2:26" x14ac:dyDescent="0.25">
      <c r="B29" s="41"/>
      <c r="C29" s="41"/>
      <c r="D29" s="41"/>
      <c r="E29" s="41"/>
      <c r="F29" s="41"/>
      <c r="G29" s="42"/>
      <c r="H29" s="43"/>
      <c r="I29" s="44"/>
      <c r="J29" s="43"/>
      <c r="K29" s="45"/>
      <c r="L29" s="44"/>
      <c r="M29" s="44"/>
      <c r="N29" s="62"/>
      <c r="O29" s="50"/>
      <c r="P29" s="1"/>
    </row>
    <row r="30" spans="2:26" x14ac:dyDescent="0.25">
      <c r="B30" s="35"/>
      <c r="C30" s="35"/>
      <c r="D30" s="35"/>
      <c r="E30" s="35"/>
      <c r="F30" s="35"/>
      <c r="G30" s="37"/>
      <c r="H30" s="38"/>
      <c r="I30" s="39"/>
      <c r="J30" s="38"/>
      <c r="K30" s="40"/>
      <c r="L30" s="39"/>
      <c r="M30" s="39"/>
      <c r="N30" s="61"/>
      <c r="O30" s="50"/>
      <c r="P30" s="1"/>
    </row>
    <row r="31" spans="2:26" x14ac:dyDescent="0.25">
      <c r="B31" s="35"/>
      <c r="C31" s="35"/>
      <c r="D31" s="35"/>
      <c r="E31" s="35"/>
      <c r="F31" s="35"/>
      <c r="G31" s="37"/>
      <c r="H31" s="38"/>
      <c r="I31" s="39"/>
      <c r="J31" s="38"/>
      <c r="K31" s="40"/>
      <c r="L31" s="39"/>
      <c r="M31" s="39"/>
      <c r="N31" s="61"/>
      <c r="O31" s="50"/>
      <c r="P31" s="1"/>
      <c r="S31" s="9"/>
      <c r="T31" s="9"/>
      <c r="U31" s="9"/>
    </row>
    <row r="32" spans="2:26" x14ac:dyDescent="0.25">
      <c r="B32" s="35"/>
      <c r="C32" s="35"/>
      <c r="D32" s="35"/>
      <c r="E32" s="35"/>
      <c r="F32" s="35"/>
      <c r="G32" s="37"/>
      <c r="H32" s="38"/>
      <c r="I32" s="39"/>
      <c r="J32" s="38"/>
      <c r="K32" s="40"/>
      <c r="L32" s="39"/>
      <c r="M32" s="39"/>
      <c r="N32" s="61"/>
      <c r="O32" s="50"/>
      <c r="P32" s="1"/>
      <c r="S32" s="9"/>
      <c r="T32" s="9"/>
      <c r="U32" s="9"/>
    </row>
    <row r="33" spans="2:22" x14ac:dyDescent="0.25">
      <c r="B33" s="35"/>
      <c r="C33" s="35"/>
      <c r="D33" s="35"/>
      <c r="E33" s="35"/>
      <c r="F33" s="35"/>
      <c r="G33" s="37"/>
      <c r="H33" s="38"/>
      <c r="I33" s="39"/>
      <c r="J33" s="38"/>
      <c r="K33" s="40"/>
      <c r="L33" s="39"/>
      <c r="M33" s="39"/>
      <c r="N33" s="61"/>
      <c r="O33" s="50"/>
      <c r="P33" s="1"/>
      <c r="S33" s="9"/>
      <c r="T33" s="9"/>
      <c r="U33" s="9"/>
    </row>
    <row r="34" spans="2:22" x14ac:dyDescent="0.25">
      <c r="B34" s="35"/>
      <c r="C34" s="35"/>
      <c r="D34" s="35"/>
      <c r="E34" s="35"/>
      <c r="F34" s="35"/>
      <c r="G34" s="37"/>
      <c r="H34" s="38"/>
      <c r="I34" s="39"/>
      <c r="J34" s="38"/>
      <c r="K34" s="40"/>
      <c r="L34" s="39"/>
      <c r="M34" s="39"/>
      <c r="N34" s="61"/>
      <c r="O34" s="50"/>
      <c r="P34" s="1"/>
      <c r="S34" s="9"/>
      <c r="T34" s="9"/>
      <c r="U34" s="9"/>
    </row>
    <row r="35" spans="2:22" x14ac:dyDescent="0.25">
      <c r="B35" s="35"/>
      <c r="C35" s="35"/>
      <c r="D35" s="35"/>
      <c r="E35" s="35"/>
      <c r="F35" s="35"/>
      <c r="G35" s="37"/>
      <c r="H35" s="38"/>
      <c r="I35" s="39"/>
      <c r="J35" s="38"/>
      <c r="K35" s="40"/>
      <c r="L35" s="39"/>
      <c r="M35" s="39"/>
      <c r="N35" s="61"/>
      <c r="O35" s="50"/>
      <c r="P35" s="1"/>
      <c r="S35" s="50"/>
      <c r="T35" s="50"/>
      <c r="U35" s="50"/>
      <c r="V35" s="4"/>
    </row>
    <row r="36" spans="2:22" x14ac:dyDescent="0.25">
      <c r="B36" s="35"/>
      <c r="C36" s="35"/>
      <c r="D36" s="35"/>
      <c r="E36" s="35"/>
      <c r="F36" s="35"/>
      <c r="G36" s="37"/>
      <c r="H36" s="38"/>
      <c r="I36" s="39"/>
      <c r="J36" s="38"/>
      <c r="K36" s="40"/>
      <c r="L36" s="39"/>
      <c r="M36" s="39"/>
      <c r="N36" s="61"/>
      <c r="O36" s="50"/>
      <c r="P36" s="1"/>
      <c r="S36" s="9"/>
      <c r="T36" s="9"/>
      <c r="U36" s="9"/>
    </row>
    <row r="37" spans="2:22" x14ac:dyDescent="0.25">
      <c r="B37" s="35"/>
      <c r="C37" s="35"/>
      <c r="D37" s="35"/>
      <c r="E37" s="35"/>
      <c r="F37" s="35"/>
      <c r="G37" s="37"/>
      <c r="H37" s="38"/>
      <c r="I37" s="39"/>
      <c r="J37" s="38"/>
      <c r="K37" s="40"/>
      <c r="L37" s="39"/>
      <c r="M37" s="39"/>
      <c r="N37" s="61"/>
      <c r="O37" s="50"/>
      <c r="P37" s="1"/>
      <c r="S37" s="9"/>
      <c r="T37" s="9"/>
      <c r="U37" s="9"/>
    </row>
    <row r="38" spans="2:22" x14ac:dyDescent="0.25">
      <c r="B38" s="35"/>
      <c r="C38" s="35"/>
      <c r="D38" s="35"/>
      <c r="E38" s="35"/>
      <c r="F38" s="35"/>
      <c r="G38" s="37"/>
      <c r="H38" s="38"/>
      <c r="I38" s="39"/>
      <c r="J38" s="38"/>
      <c r="K38" s="40"/>
      <c r="L38" s="39"/>
      <c r="M38" s="39"/>
      <c r="N38" s="61"/>
      <c r="O38" s="50"/>
      <c r="P38" s="1"/>
      <c r="S38" s="9"/>
      <c r="T38" s="9"/>
      <c r="U38" s="9"/>
    </row>
    <row r="39" spans="2:22" x14ac:dyDescent="0.25">
      <c r="B39" s="35"/>
      <c r="C39" s="35"/>
      <c r="D39" s="35"/>
      <c r="E39" s="35"/>
      <c r="F39" s="35"/>
      <c r="G39" s="37"/>
      <c r="H39" s="38"/>
      <c r="I39" s="39"/>
      <c r="J39" s="38"/>
      <c r="K39" s="40"/>
      <c r="L39" s="39"/>
      <c r="M39" s="39"/>
      <c r="N39" s="61"/>
      <c r="O39" s="50"/>
      <c r="P39" s="1"/>
      <c r="S39" s="9"/>
      <c r="T39" s="9"/>
      <c r="U39" s="9"/>
    </row>
    <row r="40" spans="2:22" x14ac:dyDescent="0.25">
      <c r="B40" s="35"/>
      <c r="C40" s="35"/>
      <c r="D40" s="35"/>
      <c r="E40" s="35"/>
      <c r="F40" s="35"/>
      <c r="G40" s="37"/>
      <c r="H40" s="38"/>
      <c r="I40" s="39"/>
      <c r="J40" s="38"/>
      <c r="K40" s="40"/>
      <c r="L40" s="39"/>
      <c r="M40" s="39"/>
      <c r="N40" s="61"/>
      <c r="O40" s="50"/>
      <c r="P40" s="1"/>
      <c r="S40" s="9"/>
      <c r="T40" s="9"/>
      <c r="U40" s="9"/>
    </row>
    <row r="41" spans="2:22" x14ac:dyDescent="0.25">
      <c r="B41" s="35"/>
      <c r="C41" s="35"/>
      <c r="D41" s="35"/>
      <c r="E41" s="35"/>
      <c r="F41" s="35"/>
      <c r="G41" s="37"/>
      <c r="H41" s="38"/>
      <c r="I41" s="39"/>
      <c r="J41" s="38"/>
      <c r="K41" s="40"/>
      <c r="L41" s="39"/>
      <c r="M41" s="39"/>
      <c r="N41" s="61"/>
      <c r="O41" s="50"/>
      <c r="P41" s="1"/>
      <c r="S41" s="9"/>
      <c r="T41" s="9"/>
      <c r="U41" s="9"/>
    </row>
    <row r="42" spans="2:22" x14ac:dyDescent="0.25">
      <c r="B42" s="35"/>
      <c r="C42" s="35"/>
      <c r="D42" s="35"/>
      <c r="E42" s="35"/>
      <c r="F42" s="35"/>
      <c r="G42" s="37"/>
      <c r="H42" s="38"/>
      <c r="I42" s="39"/>
      <c r="J42" s="38"/>
      <c r="K42" s="40"/>
      <c r="L42" s="39"/>
      <c r="M42" s="39"/>
      <c r="N42" s="61"/>
      <c r="O42" s="50"/>
      <c r="P42" s="1"/>
      <c r="S42" s="9"/>
      <c r="T42" s="9"/>
      <c r="U42" s="9"/>
    </row>
    <row r="43" spans="2:22" x14ac:dyDescent="0.25">
      <c r="B43" s="35"/>
      <c r="C43" s="35"/>
      <c r="D43" s="35"/>
      <c r="E43" s="35"/>
      <c r="F43" s="35"/>
      <c r="G43" s="37"/>
      <c r="H43" s="38"/>
      <c r="I43" s="39"/>
      <c r="J43" s="38"/>
      <c r="K43" s="40"/>
      <c r="L43" s="39"/>
      <c r="M43" s="39"/>
      <c r="N43" s="61"/>
      <c r="O43" s="50"/>
      <c r="P43" s="1"/>
      <c r="S43" s="9"/>
      <c r="T43" s="9"/>
      <c r="U43" s="9"/>
    </row>
    <row r="44" spans="2:22" x14ac:dyDescent="0.25">
      <c r="B44" s="35"/>
      <c r="C44" s="35"/>
      <c r="D44" s="35"/>
      <c r="E44" s="35"/>
      <c r="F44" s="35"/>
      <c r="G44" s="37"/>
      <c r="H44" s="38"/>
      <c r="I44" s="39"/>
      <c r="J44" s="38"/>
      <c r="K44" s="40"/>
      <c r="L44" s="39"/>
      <c r="M44" s="39"/>
      <c r="N44" s="61"/>
      <c r="O44" s="50"/>
      <c r="P44" s="1"/>
      <c r="S44" s="9"/>
      <c r="T44" s="9"/>
      <c r="U44" s="9"/>
    </row>
    <row r="45" spans="2:22" x14ac:dyDescent="0.25">
      <c r="B45" s="41"/>
      <c r="C45" s="41"/>
      <c r="D45" s="41"/>
      <c r="E45" s="41"/>
      <c r="F45" s="41"/>
      <c r="G45" s="42"/>
      <c r="H45" s="43"/>
      <c r="I45" s="44"/>
      <c r="J45" s="43"/>
      <c r="K45" s="45"/>
      <c r="L45" s="44"/>
      <c r="M45" s="44"/>
      <c r="N45" s="62"/>
      <c r="O45" s="50"/>
      <c r="P45" s="1"/>
      <c r="S45" s="9"/>
      <c r="T45" s="9"/>
      <c r="U45" s="9"/>
    </row>
    <row r="46" spans="2:22" x14ac:dyDescent="0.25">
      <c r="B46" s="35"/>
      <c r="C46" s="35"/>
      <c r="D46" s="35"/>
      <c r="E46" s="35"/>
      <c r="F46" s="35"/>
      <c r="G46" s="37"/>
      <c r="H46" s="38"/>
      <c r="I46" s="39"/>
      <c r="J46" s="38"/>
      <c r="K46" s="40"/>
      <c r="L46" s="39"/>
      <c r="M46" s="39"/>
      <c r="N46" s="61"/>
      <c r="O46" s="50"/>
      <c r="P46" s="1"/>
      <c r="S46" s="9"/>
      <c r="T46" s="9"/>
      <c r="U46" s="9"/>
    </row>
    <row r="47" spans="2:22" x14ac:dyDescent="0.25">
      <c r="B47" s="35"/>
      <c r="C47" s="35"/>
      <c r="D47" s="35"/>
      <c r="E47" s="35"/>
      <c r="F47" s="35"/>
      <c r="G47" s="37"/>
      <c r="H47" s="38"/>
      <c r="I47" s="39"/>
      <c r="J47" s="38"/>
      <c r="K47" s="40"/>
      <c r="L47" s="39"/>
      <c r="M47" s="39"/>
      <c r="N47" s="61"/>
      <c r="O47" s="50"/>
      <c r="P47" s="1"/>
      <c r="S47" s="9"/>
      <c r="T47" s="9"/>
      <c r="U47" s="9"/>
    </row>
    <row r="48" spans="2:22" x14ac:dyDescent="0.25">
      <c r="B48" s="35"/>
      <c r="C48" s="35"/>
      <c r="D48" s="35"/>
      <c r="E48" s="35"/>
      <c r="F48" s="35"/>
      <c r="G48" s="37"/>
      <c r="H48" s="38"/>
      <c r="I48" s="39"/>
      <c r="J48" s="38"/>
      <c r="K48" s="40"/>
      <c r="L48" s="39"/>
      <c r="M48" s="39"/>
      <c r="N48" s="61"/>
      <c r="O48" s="50"/>
      <c r="P48" s="1"/>
      <c r="S48" s="9"/>
      <c r="T48" s="9"/>
      <c r="U48" s="9"/>
    </row>
    <row r="49" spans="2:21" x14ac:dyDescent="0.25">
      <c r="B49" s="35"/>
      <c r="C49" s="35"/>
      <c r="D49" s="35"/>
      <c r="E49" s="35"/>
      <c r="F49" s="35"/>
      <c r="G49" s="37"/>
      <c r="H49" s="38"/>
      <c r="I49" s="39"/>
      <c r="J49" s="38"/>
      <c r="K49" s="40"/>
      <c r="L49" s="39"/>
      <c r="M49" s="39"/>
      <c r="N49" s="61"/>
      <c r="O49" s="50"/>
      <c r="P49" s="1"/>
      <c r="S49" s="9"/>
      <c r="T49" s="9"/>
      <c r="U49" s="9"/>
    </row>
    <row r="50" spans="2:21" x14ac:dyDescent="0.25">
      <c r="B50" s="35"/>
      <c r="C50" s="35"/>
      <c r="D50" s="35"/>
      <c r="E50" s="35"/>
      <c r="F50" s="35"/>
      <c r="G50" s="37"/>
      <c r="H50" s="38"/>
      <c r="I50" s="39"/>
      <c r="J50" s="38"/>
      <c r="K50" s="40"/>
      <c r="L50" s="39"/>
      <c r="M50" s="39"/>
      <c r="N50" s="61"/>
      <c r="O50" s="50"/>
      <c r="P50" s="1"/>
      <c r="S50" s="9"/>
      <c r="T50" s="9"/>
      <c r="U50" s="9"/>
    </row>
    <row r="51" spans="2:21" x14ac:dyDescent="0.25">
      <c r="B51" s="35"/>
      <c r="C51" s="35"/>
      <c r="D51" s="35"/>
      <c r="E51" s="35"/>
      <c r="F51" s="35"/>
      <c r="G51" s="37"/>
      <c r="H51" s="38"/>
      <c r="I51" s="39"/>
      <c r="J51" s="38"/>
      <c r="K51" s="40"/>
      <c r="L51" s="39"/>
      <c r="M51" s="39"/>
      <c r="N51" s="61"/>
      <c r="O51" s="50"/>
      <c r="P51" s="1"/>
      <c r="S51" s="9"/>
      <c r="T51" s="9"/>
      <c r="U51" s="9"/>
    </row>
    <row r="52" spans="2:21" x14ac:dyDescent="0.25">
      <c r="B52" s="35"/>
      <c r="C52" s="35"/>
      <c r="D52" s="35"/>
      <c r="E52" s="35"/>
      <c r="F52" s="35"/>
      <c r="G52" s="37"/>
      <c r="H52" s="38"/>
      <c r="I52" s="39"/>
      <c r="J52" s="38"/>
      <c r="K52" s="40"/>
      <c r="L52" s="39"/>
      <c r="M52" s="39"/>
      <c r="N52" s="61"/>
      <c r="O52" s="50"/>
      <c r="P52" s="1"/>
      <c r="S52" s="9"/>
      <c r="T52" s="9"/>
      <c r="U52" s="9"/>
    </row>
    <row r="53" spans="2:21" x14ac:dyDescent="0.25">
      <c r="B53" s="35"/>
      <c r="C53" s="35"/>
      <c r="D53" s="35"/>
      <c r="E53" s="35"/>
      <c r="F53" s="35"/>
      <c r="G53" s="37"/>
      <c r="H53" s="38"/>
      <c r="I53" s="39"/>
      <c r="J53" s="38"/>
      <c r="K53" s="40"/>
      <c r="L53" s="39"/>
      <c r="M53" s="39"/>
      <c r="N53" s="61"/>
      <c r="O53" s="50"/>
      <c r="P53" s="1"/>
      <c r="S53" s="9"/>
      <c r="T53" s="9"/>
      <c r="U53" s="9"/>
    </row>
    <row r="54" spans="2:21" x14ac:dyDescent="0.25">
      <c r="B54" s="35"/>
      <c r="C54" s="35"/>
      <c r="D54" s="35"/>
      <c r="E54" s="35"/>
      <c r="F54" s="35"/>
      <c r="G54" s="37"/>
      <c r="H54" s="38"/>
      <c r="I54" s="39"/>
      <c r="J54" s="38"/>
      <c r="K54" s="40"/>
      <c r="L54" s="39"/>
      <c r="M54" s="39"/>
      <c r="N54" s="61"/>
      <c r="O54" s="50"/>
      <c r="P54" s="1"/>
      <c r="S54" s="9"/>
      <c r="T54" s="9"/>
      <c r="U54" s="9"/>
    </row>
    <row r="55" spans="2:21" x14ac:dyDescent="0.25">
      <c r="B55" s="35"/>
      <c r="C55" s="35"/>
      <c r="D55" s="35"/>
      <c r="E55" s="35"/>
      <c r="F55" s="35"/>
      <c r="G55" s="37"/>
      <c r="H55" s="38"/>
      <c r="I55" s="39"/>
      <c r="J55" s="38"/>
      <c r="K55" s="40"/>
      <c r="L55" s="39"/>
      <c r="M55" s="39"/>
      <c r="N55" s="61"/>
      <c r="O55" s="50"/>
      <c r="P55" s="1"/>
      <c r="S55" s="9"/>
      <c r="T55" s="9"/>
      <c r="U55" s="9"/>
    </row>
    <row r="56" spans="2:21" x14ac:dyDescent="0.25">
      <c r="B56" s="35"/>
      <c r="C56" s="35"/>
      <c r="D56" s="35"/>
      <c r="E56" s="35"/>
      <c r="F56" s="35"/>
      <c r="G56" s="37"/>
      <c r="H56" s="46"/>
      <c r="I56" s="47"/>
      <c r="J56" s="46"/>
      <c r="K56" s="48"/>
      <c r="L56" s="39"/>
      <c r="M56" s="39"/>
      <c r="N56" s="61"/>
      <c r="O56" s="50"/>
      <c r="P56" s="1"/>
      <c r="S56" s="9"/>
      <c r="T56" s="9"/>
      <c r="U56" s="9"/>
    </row>
    <row r="57" spans="2:21" x14ac:dyDescent="0.25">
      <c r="B57" s="35"/>
      <c r="C57" s="35"/>
      <c r="D57" s="35"/>
      <c r="E57" s="35"/>
      <c r="F57" s="35"/>
      <c r="G57" s="37"/>
      <c r="H57" s="38"/>
      <c r="I57" s="39"/>
      <c r="J57" s="38"/>
      <c r="K57" s="40"/>
      <c r="L57" s="39"/>
      <c r="M57" s="39"/>
      <c r="N57" s="61"/>
      <c r="O57" s="51"/>
      <c r="P57" s="6"/>
    </row>
    <row r="58" spans="2:21" x14ac:dyDescent="0.25">
      <c r="B58" s="35"/>
      <c r="C58" s="35"/>
      <c r="D58" s="35"/>
      <c r="E58" s="35"/>
      <c r="F58" s="35"/>
      <c r="G58" s="37"/>
      <c r="H58" s="38"/>
      <c r="I58" s="39"/>
      <c r="J58" s="38"/>
      <c r="K58" s="40"/>
      <c r="L58" s="39"/>
      <c r="M58" s="39"/>
      <c r="N58" s="61"/>
      <c r="O58" s="50"/>
      <c r="P58" s="1"/>
    </row>
    <row r="59" spans="2:21" x14ac:dyDescent="0.25">
      <c r="B59" s="35"/>
      <c r="C59" s="35"/>
      <c r="D59" s="35"/>
      <c r="E59" s="35"/>
      <c r="F59" s="35"/>
      <c r="G59" s="37"/>
      <c r="H59" s="38"/>
      <c r="I59" s="39"/>
      <c r="J59" s="38"/>
      <c r="K59" s="40"/>
      <c r="L59" s="39"/>
      <c r="M59" s="39"/>
      <c r="N59" s="61"/>
      <c r="O59" s="50"/>
      <c r="P59" s="1"/>
    </row>
    <row r="60" spans="2:21" x14ac:dyDescent="0.25">
      <c r="B60" s="35"/>
      <c r="C60" s="35"/>
      <c r="D60" s="35"/>
      <c r="E60" s="35"/>
      <c r="F60" s="35"/>
      <c r="G60" s="37"/>
      <c r="H60" s="38"/>
      <c r="I60" s="39"/>
      <c r="J60" s="38"/>
      <c r="K60" s="40"/>
      <c r="L60" s="49"/>
      <c r="M60" s="39"/>
      <c r="N60" s="61"/>
      <c r="O60" s="50"/>
      <c r="P60" s="1"/>
    </row>
    <row r="61" spans="2:21" x14ac:dyDescent="0.25">
      <c r="B61" s="41"/>
      <c r="C61" s="41"/>
      <c r="D61" s="41"/>
      <c r="E61" s="41"/>
      <c r="F61" s="41"/>
      <c r="G61" s="42"/>
      <c r="H61" s="43"/>
      <c r="I61" s="44"/>
      <c r="J61" s="43"/>
      <c r="K61" s="45"/>
      <c r="L61" s="44"/>
      <c r="M61" s="44"/>
      <c r="N61" s="62"/>
      <c r="O61" s="50"/>
      <c r="P61" s="1"/>
    </row>
    <row r="62" spans="2:21" x14ac:dyDescent="0.25">
      <c r="B62" s="52"/>
      <c r="C62" s="52"/>
      <c r="D62" s="52"/>
      <c r="E62" s="52"/>
      <c r="F62" s="52"/>
      <c r="G62" s="53"/>
      <c r="H62" s="54"/>
      <c r="I62" s="55"/>
      <c r="J62" s="54"/>
      <c r="K62" s="56"/>
      <c r="L62" s="55"/>
      <c r="M62" s="55"/>
      <c r="N62" s="53"/>
      <c r="O62" s="50"/>
      <c r="P62" s="1"/>
    </row>
    <row r="63" spans="2:21" x14ac:dyDescent="0.25">
      <c r="B63" s="52"/>
      <c r="C63" s="52"/>
      <c r="D63" s="52"/>
      <c r="E63" s="52"/>
      <c r="F63" s="52"/>
      <c r="G63" s="53"/>
      <c r="H63" s="54"/>
      <c r="I63" s="55"/>
      <c r="J63" s="54"/>
      <c r="K63" s="56"/>
      <c r="L63" s="55"/>
      <c r="M63" s="55"/>
      <c r="N63" s="53"/>
      <c r="P63" s="1"/>
    </row>
    <row r="64" spans="2:21" x14ac:dyDescent="0.25">
      <c r="B64" s="52"/>
      <c r="C64" s="52"/>
      <c r="D64" s="52"/>
      <c r="E64" s="52"/>
      <c r="F64" s="52"/>
      <c r="G64" s="53"/>
      <c r="H64" s="54"/>
      <c r="I64" s="55"/>
      <c r="J64" s="54"/>
      <c r="K64" s="56"/>
      <c r="L64" s="55"/>
      <c r="M64" s="55"/>
      <c r="N64" s="53"/>
      <c r="P64" s="1"/>
    </row>
    <row r="65" spans="2:16" x14ac:dyDescent="0.25">
      <c r="I65" s="1"/>
      <c r="P65" s="1"/>
    </row>
    <row r="66" spans="2:16" x14ac:dyDescent="0.25">
      <c r="I66" s="1"/>
      <c r="P66" s="1"/>
    </row>
    <row r="67" spans="2:16" x14ac:dyDescent="0.25">
      <c r="I67" s="1"/>
      <c r="P67" s="1"/>
    </row>
    <row r="68" spans="2:16" ht="18.75" x14ac:dyDescent="0.3">
      <c r="B68" s="68"/>
      <c r="I68" s="1"/>
      <c r="P68" s="1"/>
    </row>
    <row r="69" spans="2:16" x14ac:dyDescent="0.25">
      <c r="I69" s="1"/>
      <c r="P69" s="1"/>
    </row>
    <row r="70" spans="2:16" x14ac:dyDescent="0.25">
      <c r="I70" s="1"/>
      <c r="P70" s="1"/>
    </row>
    <row r="71" spans="2:16" x14ac:dyDescent="0.25">
      <c r="I71" s="66"/>
      <c r="P71" s="1"/>
    </row>
    <row r="72" spans="2:16" x14ac:dyDescent="0.25">
      <c r="I72" s="1"/>
      <c r="P72" s="1"/>
    </row>
    <row r="73" spans="2:16" x14ac:dyDescent="0.25">
      <c r="I73" s="1"/>
      <c r="P73" s="1"/>
    </row>
    <row r="74" spans="2:16" x14ac:dyDescent="0.25">
      <c r="I74" s="1"/>
      <c r="P74" s="1"/>
    </row>
    <row r="75" spans="2:16" x14ac:dyDescent="0.25">
      <c r="I75" s="1"/>
      <c r="P75" s="1"/>
    </row>
    <row r="76" spans="2:16" x14ac:dyDescent="0.25">
      <c r="I76" s="1"/>
      <c r="P76" s="1"/>
    </row>
    <row r="77" spans="2:16" x14ac:dyDescent="0.25">
      <c r="I77" s="1"/>
      <c r="P77" s="1"/>
    </row>
    <row r="78" spans="2:16" x14ac:dyDescent="0.25">
      <c r="I78" s="1"/>
      <c r="P78" s="1"/>
    </row>
    <row r="79" spans="2:16" x14ac:dyDescent="0.25">
      <c r="I79" s="1"/>
      <c r="P79" s="1"/>
    </row>
    <row r="80" spans="2:16" x14ac:dyDescent="0.25">
      <c r="I80" s="1"/>
      <c r="P80" s="1"/>
    </row>
    <row r="81" spans="9:16" x14ac:dyDescent="0.25">
      <c r="I81" s="1"/>
      <c r="P81" s="1"/>
    </row>
    <row r="82" spans="9:16" x14ac:dyDescent="0.25">
      <c r="I82" s="1"/>
      <c r="P82" s="1"/>
    </row>
    <row r="83" spans="9:16" x14ac:dyDescent="0.25">
      <c r="I83" s="1"/>
      <c r="P83" s="1"/>
    </row>
    <row r="84" spans="9:16" x14ac:dyDescent="0.25">
      <c r="I84" s="1"/>
      <c r="P84" s="1"/>
    </row>
    <row r="85" spans="9:16" x14ac:dyDescent="0.25">
      <c r="I85" s="1"/>
      <c r="P85" s="1"/>
    </row>
    <row r="86" spans="9:16" x14ac:dyDescent="0.25">
      <c r="I86" s="1"/>
      <c r="P86" s="1"/>
    </row>
    <row r="87" spans="9:16" x14ac:dyDescent="0.25">
      <c r="I87" s="1"/>
      <c r="P87" s="1"/>
    </row>
    <row r="88" spans="9:16" x14ac:dyDescent="0.25">
      <c r="I88" s="1"/>
      <c r="P88" s="1"/>
    </row>
    <row r="89" spans="9:16" x14ac:dyDescent="0.25">
      <c r="I89" s="1"/>
      <c r="P89" s="1"/>
    </row>
    <row r="90" spans="9:16" x14ac:dyDescent="0.25">
      <c r="I90" s="1"/>
      <c r="P90" s="1"/>
    </row>
    <row r="91" spans="9:16" x14ac:dyDescent="0.25">
      <c r="I91" s="1"/>
      <c r="P91" s="1"/>
    </row>
    <row r="92" spans="9:16" x14ac:dyDescent="0.25">
      <c r="I92" s="1"/>
      <c r="P92" s="1"/>
    </row>
    <row r="93" spans="9:16" x14ac:dyDescent="0.25">
      <c r="I93" s="1"/>
      <c r="P93" s="1"/>
    </row>
    <row r="94" spans="9:16" x14ac:dyDescent="0.25">
      <c r="I94" s="1"/>
      <c r="P94" s="1"/>
    </row>
    <row r="95" spans="9:16" x14ac:dyDescent="0.25">
      <c r="I95" s="1"/>
      <c r="P95" s="1"/>
    </row>
    <row r="96" spans="9:16" x14ac:dyDescent="0.25">
      <c r="I96" s="1"/>
      <c r="P96" s="1"/>
    </row>
    <row r="97" spans="9:16" x14ac:dyDescent="0.25">
      <c r="I97" s="1"/>
      <c r="P97" s="1"/>
    </row>
    <row r="98" spans="9:16" x14ac:dyDescent="0.25">
      <c r="I98" s="1"/>
      <c r="P98" s="1"/>
    </row>
    <row r="99" spans="9:16" x14ac:dyDescent="0.25">
      <c r="I99" s="1"/>
      <c r="P99" s="1"/>
    </row>
    <row r="100" spans="9:16" x14ac:dyDescent="0.25">
      <c r="I100" s="1"/>
      <c r="P100" s="1"/>
    </row>
    <row r="101" spans="9:16" x14ac:dyDescent="0.25">
      <c r="I101" s="1"/>
      <c r="P101" s="1"/>
    </row>
    <row r="102" spans="9:16" x14ac:dyDescent="0.25">
      <c r="I102" s="1"/>
      <c r="P102" s="1"/>
    </row>
    <row r="103" spans="9:16" x14ac:dyDescent="0.25">
      <c r="I103" s="1"/>
      <c r="P103" s="1"/>
    </row>
    <row r="104" spans="9:16" x14ac:dyDescent="0.25">
      <c r="I104" s="1"/>
      <c r="P104" s="1"/>
    </row>
    <row r="105" spans="9:16" x14ac:dyDescent="0.25">
      <c r="I105" s="1"/>
      <c r="P105" s="1"/>
    </row>
    <row r="106" spans="9:16" x14ac:dyDescent="0.25">
      <c r="I106" s="1"/>
      <c r="P106" s="1"/>
    </row>
    <row r="107" spans="9:16" x14ac:dyDescent="0.25">
      <c r="I107" s="1"/>
      <c r="P107" s="1"/>
    </row>
    <row r="108" spans="9:16" x14ac:dyDescent="0.25">
      <c r="I108" s="1"/>
      <c r="P108" s="1"/>
    </row>
    <row r="109" spans="9:16" x14ac:dyDescent="0.25">
      <c r="I109" s="1"/>
      <c r="P109" s="1"/>
    </row>
    <row r="110" spans="9:16" x14ac:dyDescent="0.25">
      <c r="I110" s="1"/>
      <c r="P110" s="1"/>
    </row>
    <row r="111" spans="9:16" x14ac:dyDescent="0.25">
      <c r="I111" s="1"/>
      <c r="P111" s="1"/>
    </row>
    <row r="112" spans="9:16" x14ac:dyDescent="0.25">
      <c r="I112" s="1"/>
      <c r="P112" s="1"/>
    </row>
    <row r="113" spans="9:16" x14ac:dyDescent="0.25">
      <c r="I113" s="1"/>
      <c r="P113" s="1"/>
    </row>
    <row r="114" spans="9:16" x14ac:dyDescent="0.25">
      <c r="I114" s="1"/>
      <c r="P114" s="1"/>
    </row>
    <row r="115" spans="9:16" x14ac:dyDescent="0.25">
      <c r="I115" s="1"/>
      <c r="P115" s="1"/>
    </row>
    <row r="116" spans="9:16" x14ac:dyDescent="0.25">
      <c r="I116" s="1"/>
      <c r="P116" s="1"/>
    </row>
    <row r="117" spans="9:16" x14ac:dyDescent="0.25">
      <c r="I117" s="1"/>
      <c r="P117" s="1"/>
    </row>
    <row r="118" spans="9:16" x14ac:dyDescent="0.25">
      <c r="I118" s="1"/>
      <c r="P118" s="1"/>
    </row>
    <row r="119" spans="9:16" x14ac:dyDescent="0.25">
      <c r="I119" s="1"/>
      <c r="P119" s="1"/>
    </row>
    <row r="120" spans="9:16" x14ac:dyDescent="0.25">
      <c r="I120" s="1"/>
      <c r="P120" s="1"/>
    </row>
    <row r="121" spans="9:16" x14ac:dyDescent="0.25">
      <c r="I121" s="1"/>
      <c r="P121" s="1"/>
    </row>
    <row r="122" spans="9:16" x14ac:dyDescent="0.25">
      <c r="I122" s="1"/>
      <c r="P122" s="1"/>
    </row>
    <row r="123" spans="9:16" x14ac:dyDescent="0.25">
      <c r="I123" s="1"/>
      <c r="P123" s="1"/>
    </row>
    <row r="124" spans="9:16" x14ac:dyDescent="0.25">
      <c r="I124" s="1"/>
      <c r="P124" s="1"/>
    </row>
    <row r="125" spans="9:16" x14ac:dyDescent="0.25">
      <c r="I125" s="1"/>
      <c r="P125" s="1"/>
    </row>
    <row r="126" spans="9:16" x14ac:dyDescent="0.25">
      <c r="I126" s="1"/>
      <c r="P126" s="1"/>
    </row>
    <row r="127" spans="9:16" x14ac:dyDescent="0.25">
      <c r="I127" s="1"/>
      <c r="P127" s="1"/>
    </row>
    <row r="128" spans="9:16" x14ac:dyDescent="0.25">
      <c r="I128" s="1"/>
      <c r="P128" s="1"/>
    </row>
    <row r="129" spans="9:16" x14ac:dyDescent="0.25">
      <c r="I129" s="1"/>
      <c r="P129" s="1"/>
    </row>
    <row r="130" spans="9:16" x14ac:dyDescent="0.25">
      <c r="I130" s="1"/>
      <c r="P130" s="1"/>
    </row>
    <row r="131" spans="9:16" x14ac:dyDescent="0.25">
      <c r="I131" s="1"/>
      <c r="P131" s="1"/>
    </row>
    <row r="132" spans="9:16" x14ac:dyDescent="0.25">
      <c r="I132" s="1"/>
      <c r="P132" s="1"/>
    </row>
    <row r="133" spans="9:16" x14ac:dyDescent="0.25">
      <c r="I133" s="1"/>
      <c r="P133" s="1"/>
    </row>
    <row r="134" spans="9:16" x14ac:dyDescent="0.25">
      <c r="I134" s="1"/>
      <c r="P134" s="1"/>
    </row>
    <row r="135" spans="9:16" x14ac:dyDescent="0.25">
      <c r="I135" s="1"/>
      <c r="P135" s="1"/>
    </row>
    <row r="136" spans="9:16" x14ac:dyDescent="0.25">
      <c r="I136" s="1"/>
      <c r="P136" s="1"/>
    </row>
    <row r="137" spans="9:16" x14ac:dyDescent="0.25">
      <c r="I137" s="1"/>
      <c r="P137" s="1"/>
    </row>
    <row r="138" spans="9:16" x14ac:dyDescent="0.25">
      <c r="I138" s="1"/>
      <c r="P138" s="1"/>
    </row>
    <row r="139" spans="9:16" x14ac:dyDescent="0.25">
      <c r="I139" s="1"/>
      <c r="P139" s="1"/>
    </row>
    <row r="140" spans="9:16" x14ac:dyDescent="0.25">
      <c r="I140" s="1"/>
      <c r="P140" s="1"/>
    </row>
    <row r="141" spans="9:16" x14ac:dyDescent="0.25">
      <c r="I141" s="1"/>
      <c r="P141" s="1"/>
    </row>
    <row r="142" spans="9:16" x14ac:dyDescent="0.25">
      <c r="I142" s="1"/>
      <c r="P142" s="1"/>
    </row>
    <row r="143" spans="9:16" x14ac:dyDescent="0.25">
      <c r="I143" s="1"/>
      <c r="P143" s="1"/>
    </row>
    <row r="144" spans="9:16" x14ac:dyDescent="0.25">
      <c r="I144" s="1"/>
      <c r="P144" s="1"/>
    </row>
    <row r="145" spans="9:16" x14ac:dyDescent="0.25">
      <c r="I145" s="1"/>
      <c r="P145" s="1"/>
    </row>
    <row r="146" spans="9:16" x14ac:dyDescent="0.25">
      <c r="I146" s="1"/>
      <c r="P146" s="1"/>
    </row>
    <row r="147" spans="9:16" x14ac:dyDescent="0.25">
      <c r="I147" s="1"/>
      <c r="P147" s="1"/>
    </row>
    <row r="148" spans="9:16" x14ac:dyDescent="0.25">
      <c r="I148" s="1"/>
      <c r="P148" s="1"/>
    </row>
    <row r="149" spans="9:16" x14ac:dyDescent="0.25">
      <c r="I149" s="1"/>
      <c r="P149" s="1"/>
    </row>
    <row r="150" spans="9:16" x14ac:dyDescent="0.25">
      <c r="I150" s="1"/>
      <c r="P150" s="1"/>
    </row>
    <row r="151" spans="9:16" x14ac:dyDescent="0.25">
      <c r="I151" s="1"/>
      <c r="P151" s="1"/>
    </row>
    <row r="152" spans="9:16" x14ac:dyDescent="0.25">
      <c r="I152" s="1"/>
      <c r="P152" s="1"/>
    </row>
    <row r="153" spans="9:16" x14ac:dyDescent="0.25">
      <c r="I153" s="1"/>
      <c r="P153" s="1"/>
    </row>
  </sheetData>
  <mergeCells count="11">
    <mergeCell ref="B1:E1"/>
    <mergeCell ref="B2:D2"/>
    <mergeCell ref="T10:W10"/>
    <mergeCell ref="T3:U3"/>
    <mergeCell ref="T4:U4"/>
    <mergeCell ref="T5:U5"/>
    <mergeCell ref="F2:K2"/>
    <mergeCell ref="L9:N13"/>
    <mergeCell ref="L2:N2"/>
    <mergeCell ref="F1:K1"/>
    <mergeCell ref="F6:K13"/>
  </mergeCells>
  <pageMargins left="0.7" right="0.7" top="0.75" bottom="0.75" header="0.3" footer="0.3"/>
  <drawing r:id="rId1"/>
  <legacyDrawing r:id="rId2"/>
  <controls>
    <mc:AlternateContent xmlns:mc="http://schemas.openxmlformats.org/markup-compatibility/2006">
      <mc:Choice Requires="x14">
        <control shapeId="1033" r:id="rId3" name="CommandButton1">
          <controlPr defaultSize="0" autoLine="0" r:id="rId4">
            <anchor moveWithCells="1">
              <from>
                <xdr:col>4</xdr:col>
                <xdr:colOff>228600</xdr:colOff>
                <xdr:row>1</xdr:row>
                <xdr:rowOff>133350</xdr:rowOff>
              </from>
              <to>
                <xdr:col>4</xdr:col>
                <xdr:colOff>1457325</xdr:colOff>
                <xdr:row>1</xdr:row>
                <xdr:rowOff>666750</xdr:rowOff>
              </to>
            </anchor>
          </controlPr>
        </control>
      </mc:Choice>
      <mc:Fallback>
        <control shapeId="1033" r:id="rId3" name="CommandButton1"/>
      </mc:Fallback>
    </mc:AlternateContent>
    <mc:AlternateContent xmlns:mc="http://schemas.openxmlformats.org/markup-compatibility/2006">
      <mc:Choice Requires="x14">
        <control shapeId="1035" r:id="rId5" name="exproot">
          <controlPr defaultSize="0" autoLine="0" autoPict="0" r:id="rId6">
            <anchor moveWithCells="1">
              <from>
                <xdr:col>5</xdr:col>
                <xdr:colOff>47625</xdr:colOff>
                <xdr:row>1</xdr:row>
                <xdr:rowOff>28575</xdr:rowOff>
              </from>
              <to>
                <xdr:col>8</xdr:col>
                <xdr:colOff>314325</xdr:colOff>
                <xdr:row>1</xdr:row>
                <xdr:rowOff>352425</xdr:rowOff>
              </to>
            </anchor>
          </controlPr>
        </control>
      </mc:Choice>
      <mc:Fallback>
        <control shapeId="1035" r:id="rId5" name="exproo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outputs"/>
  <dimension ref="A2:X2210"/>
  <sheetViews>
    <sheetView workbookViewId="0">
      <selection activeCell="N8" sqref="N8"/>
    </sheetView>
  </sheetViews>
  <sheetFormatPr defaultRowHeight="15" x14ac:dyDescent="0.25"/>
  <cols>
    <col min="2" max="3" width="8.85546875" style="1"/>
    <col min="4" max="4" width="7.7109375" style="1" customWidth="1"/>
    <col min="5" max="5" width="10.7109375" style="1" customWidth="1"/>
    <col min="6" max="13" width="8.85546875" style="1"/>
    <col min="14" max="14" width="9.5703125" style="1" customWidth="1"/>
    <col min="15" max="15" width="9.140625" style="1"/>
    <col min="16" max="18" width="8.85546875" style="1"/>
    <col min="19" max="19" width="11.5703125" style="1" bestFit="1" customWidth="1"/>
    <col min="20" max="21" width="8.85546875" style="1"/>
    <col min="22" max="22" width="9.140625" style="1"/>
    <col min="23" max="23" width="12.5703125" style="1" bestFit="1" customWidth="1"/>
    <col min="24" max="24" width="10" style="1" customWidth="1"/>
  </cols>
  <sheetData>
    <row r="2" spans="1:24" ht="55.9" customHeight="1" x14ac:dyDescent="0.25">
      <c r="A2" s="24" t="s">
        <v>59</v>
      </c>
      <c r="B2" s="24" t="s">
        <v>30</v>
      </c>
      <c r="C2" s="25" t="s">
        <v>22</v>
      </c>
      <c r="D2" s="26" t="s">
        <v>34</v>
      </c>
      <c r="E2" s="27" t="s">
        <v>37</v>
      </c>
      <c r="F2" s="28" t="s">
        <v>18</v>
      </c>
      <c r="G2" s="29" t="s">
        <v>19</v>
      </c>
      <c r="H2" s="30" t="s">
        <v>20</v>
      </c>
      <c r="I2" s="26" t="s">
        <v>31</v>
      </c>
      <c r="J2" s="26" t="s">
        <v>32</v>
      </c>
      <c r="K2" s="25" t="s">
        <v>24</v>
      </c>
      <c r="L2" s="31" t="s">
        <v>8</v>
      </c>
      <c r="M2" s="30" t="s">
        <v>10</v>
      </c>
      <c r="N2" s="30" t="s">
        <v>58</v>
      </c>
      <c r="O2" s="30" t="s">
        <v>62</v>
      </c>
      <c r="P2" s="1" t="s">
        <v>63</v>
      </c>
      <c r="Q2" s="7" t="s">
        <v>64</v>
      </c>
      <c r="R2" s="7" t="s">
        <v>65</v>
      </c>
      <c r="S2" s="7" t="s">
        <v>66</v>
      </c>
      <c r="T2" s="5"/>
      <c r="U2" s="2"/>
      <c r="V2" s="2"/>
      <c r="W2" s="5"/>
      <c r="X2" s="5"/>
    </row>
    <row r="3" spans="1:24" x14ac:dyDescent="0.25">
      <c r="A3">
        <v>1.0065550116273889</v>
      </c>
      <c r="B3">
        <v>11.100000000000001</v>
      </c>
      <c r="C3">
        <v>1.0065550116273871</v>
      </c>
      <c r="D3">
        <v>11.100000000000001</v>
      </c>
      <c r="E3">
        <v>95.626021507506096</v>
      </c>
      <c r="F3">
        <v>39.355779020774214</v>
      </c>
      <c r="G3">
        <v>53.032463781045529</v>
      </c>
      <c r="H3">
        <v>1.5628800000000027</v>
      </c>
      <c r="I3">
        <v>0.30831005891715035</v>
      </c>
      <c r="J3">
        <v>4.7813010753753051</v>
      </c>
      <c r="K3">
        <v>8.6328817607581473E-2</v>
      </c>
      <c r="L3">
        <v>98.39206800185157</v>
      </c>
      <c r="M3">
        <v>0.90680631678143142</v>
      </c>
      <c r="N3">
        <v>3.4204554645606793</v>
      </c>
      <c r="O3">
        <v>30.583341477495928</v>
      </c>
      <c r="P3" s="1">
        <f>O3</f>
        <v>30.583341477495928</v>
      </c>
      <c r="Q3" s="1">
        <f>LOG(SUM(O$3:O$250)/(SUM(O$3:O$250)-P3))/0.0311</f>
        <v>3.6592858937714223</v>
      </c>
      <c r="R3" s="1">
        <f>Q3</f>
        <v>3.6592858937714223</v>
      </c>
      <c r="S3" s="1">
        <f>(0.5*A3)/Q3</f>
        <v>0.13753434971296935</v>
      </c>
      <c r="T3" s="1">
        <f>LOG(O3)</f>
        <v>1.4854849338545268</v>
      </c>
    </row>
    <row r="4" spans="1:24" x14ac:dyDescent="0.25">
      <c r="A4">
        <v>2.0081371875823426</v>
      </c>
      <c r="B4">
        <v>9.8000000000000007</v>
      </c>
      <c r="C4">
        <v>1.0096491925179703</v>
      </c>
      <c r="D4">
        <v>20.900000000000002</v>
      </c>
      <c r="E4">
        <v>86.075438859384292</v>
      </c>
      <c r="F4">
        <v>39.580639499413884</v>
      </c>
      <c r="G4">
        <v>136.31822337219481</v>
      </c>
      <c r="H4">
        <v>1.3798400000000015</v>
      </c>
      <c r="I4">
        <v>0.3512035448040276</v>
      </c>
      <c r="J4">
        <v>4.3037719429692149</v>
      </c>
      <c r="K4">
        <v>8.6303239888562408E-2</v>
      </c>
      <c r="L4">
        <v>98.422550878019223</v>
      </c>
      <c r="M4">
        <v>1.0220226285254628</v>
      </c>
      <c r="N4">
        <v>3.0943674323311576</v>
      </c>
      <c r="O4">
        <v>22.073271282635435</v>
      </c>
      <c r="P4" s="1">
        <f>O4+P3</f>
        <v>52.656612760131367</v>
      </c>
      <c r="Q4" s="1">
        <f t="shared" ref="Q4:Q67" si="0">LOG(SUM(O$3:O$250)/(SUM(O$3:O$250)-P4))/0.0311</f>
        <v>7.0614207444745061</v>
      </c>
      <c r="R4" s="1">
        <f>Q4-Q3</f>
        <v>3.4021348507030837</v>
      </c>
      <c r="S4" s="1">
        <f>(A3+0.5*(A4-A3))/Q4</f>
        <v>0.21346215643422034</v>
      </c>
      <c r="T4" s="1">
        <f t="shared" ref="T4:T67" si="1">LOG(O4)</f>
        <v>1.3438667008425558</v>
      </c>
    </row>
    <row r="5" spans="1:24" x14ac:dyDescent="0.25">
      <c r="A5">
        <v>3.0136444954311821</v>
      </c>
      <c r="B5">
        <v>9</v>
      </c>
      <c r="C5">
        <v>1.0135743244118531</v>
      </c>
      <c r="D5">
        <v>29.900000000000002</v>
      </c>
      <c r="E5">
        <v>78.173204901032861</v>
      </c>
      <c r="F5">
        <v>36.040512258467786</v>
      </c>
      <c r="G5">
        <v>199.20721984464609</v>
      </c>
      <c r="H5">
        <v>1.2672000000000008</v>
      </c>
      <c r="I5">
        <v>0.34821750974365018</v>
      </c>
      <c r="J5">
        <v>3.9086602450516432</v>
      </c>
      <c r="K5">
        <v>8.6317701058450172E-2</v>
      </c>
      <c r="L5">
        <v>98.405314203318653</v>
      </c>
      <c r="M5">
        <v>1.117230342054266</v>
      </c>
      <c r="N5">
        <v>2.8014221772057222</v>
      </c>
      <c r="O5">
        <v>16.468050611150289</v>
      </c>
      <c r="P5" s="1">
        <f t="shared" ref="P5:P68" si="2">O5+P4</f>
        <v>69.124663371281656</v>
      </c>
      <c r="Q5" s="1">
        <f t="shared" si="0"/>
        <v>10.279396448247429</v>
      </c>
      <c r="R5" s="1">
        <f t="shared" ref="R5:R68" si="3">Q5-Q4</f>
        <v>3.2179757037729226</v>
      </c>
      <c r="S5" s="1">
        <f t="shared" ref="S5:S68" si="4">(A4+0.5*(A5-A4))/Q5</f>
        <v>0.24426442293067246</v>
      </c>
      <c r="T5" s="1">
        <f t="shared" si="1"/>
        <v>1.216642193041839</v>
      </c>
    </row>
    <row r="6" spans="1:24" x14ac:dyDescent="0.25">
      <c r="A6">
        <v>4.0224327922385807</v>
      </c>
      <c r="B6">
        <v>8.4</v>
      </c>
      <c r="C6">
        <v>1.0168553133704146</v>
      </c>
      <c r="D6">
        <v>38.300000000000004</v>
      </c>
      <c r="E6">
        <v>70.924496844679055</v>
      </c>
      <c r="F6">
        <v>32.772224610042379</v>
      </c>
      <c r="G6">
        <v>248.59582110960895</v>
      </c>
      <c r="H6">
        <v>1.1827200000000002</v>
      </c>
      <c r="I6">
        <v>0.3392569835408113</v>
      </c>
      <c r="J6">
        <v>3.5462248422339528</v>
      </c>
      <c r="K6">
        <v>8.6355392701234296E-2</v>
      </c>
      <c r="L6">
        <v>98.360415607372175</v>
      </c>
      <c r="M6">
        <v>1.2009384485802366</v>
      </c>
      <c r="N6">
        <v>2.5304319539247508</v>
      </c>
      <c r="O6">
        <v>12.558929844224899</v>
      </c>
      <c r="P6" s="1">
        <f t="shared" si="2"/>
        <v>81.683593215506562</v>
      </c>
      <c r="Q6" s="1">
        <f t="shared" si="0"/>
        <v>13.354295664443134</v>
      </c>
      <c r="R6" s="1">
        <f t="shared" si="3"/>
        <v>3.0748992161957052</v>
      </c>
      <c r="S6" s="1">
        <f t="shared" si="4"/>
        <v>0.26343872655163214</v>
      </c>
      <c r="T6" s="1">
        <f t="shared" si="1"/>
        <v>1.0989526344211829</v>
      </c>
    </row>
    <row r="7" spans="1:24" x14ac:dyDescent="0.25">
      <c r="A7">
        <v>5.0293427087167091</v>
      </c>
      <c r="B7">
        <v>7.9</v>
      </c>
      <c r="C7">
        <v>1.0149769330411478</v>
      </c>
      <c r="D7">
        <v>46.2</v>
      </c>
      <c r="E7">
        <v>64.014461900179342</v>
      </c>
      <c r="F7">
        <v>29.637295142106755</v>
      </c>
      <c r="G7">
        <v>287.11330069189455</v>
      </c>
      <c r="H7">
        <v>1.1123199999999998</v>
      </c>
      <c r="I7">
        <v>0.32622229105235856</v>
      </c>
      <c r="J7">
        <v>3.2007230950089673</v>
      </c>
      <c r="K7">
        <v>8.6412132940157108E-2</v>
      </c>
      <c r="L7">
        <v>98.292900028791522</v>
      </c>
      <c r="M7">
        <v>1.2745695145292764</v>
      </c>
      <c r="N7">
        <v>2.2766388570044844</v>
      </c>
      <c r="O7">
        <v>9.7438747517889457</v>
      </c>
      <c r="P7" s="1">
        <f t="shared" si="2"/>
        <v>91.427467967295513</v>
      </c>
      <c r="Q7" s="1">
        <f t="shared" si="0"/>
        <v>16.316005979612129</v>
      </c>
      <c r="R7" s="1">
        <f t="shared" si="3"/>
        <v>2.961710315168995</v>
      </c>
      <c r="S7" s="1">
        <f t="shared" si="4"/>
        <v>0.27738943931088439</v>
      </c>
      <c r="T7" s="1">
        <f t="shared" si="1"/>
        <v>0.9887316928835741</v>
      </c>
    </row>
    <row r="8" spans="1:24" x14ac:dyDescent="0.25">
      <c r="A8">
        <v>6.0338568796017231</v>
      </c>
      <c r="B8">
        <v>7.5</v>
      </c>
      <c r="C8">
        <v>1.0125811874480311</v>
      </c>
      <c r="D8">
        <v>53.7</v>
      </c>
      <c r="E8">
        <v>57.760014702660015</v>
      </c>
      <c r="F8">
        <v>26.787344805732538</v>
      </c>
      <c r="G8">
        <v>318.23672236627004</v>
      </c>
      <c r="H8">
        <v>1.0559999999999994</v>
      </c>
      <c r="I8">
        <v>0.31057791079110186</v>
      </c>
      <c r="J8">
        <v>2.888000735133001</v>
      </c>
      <c r="K8">
        <v>8.6485591126518935E-2</v>
      </c>
      <c r="L8">
        <v>98.205623243654159</v>
      </c>
      <c r="M8">
        <v>1.3393522278466854</v>
      </c>
      <c r="N8">
        <v>2.0369208435427901</v>
      </c>
      <c r="O8">
        <v>7.6669650306323209</v>
      </c>
      <c r="P8" s="1">
        <f t="shared" si="2"/>
        <v>99.094432997927839</v>
      </c>
      <c r="Q8" s="1">
        <f t="shared" si="0"/>
        <v>19.188098902339373</v>
      </c>
      <c r="R8" s="1">
        <f t="shared" si="3"/>
        <v>2.8720929227272443</v>
      </c>
      <c r="S8" s="1">
        <f t="shared" si="4"/>
        <v>0.28828284773354046</v>
      </c>
      <c r="T8" s="1">
        <f t="shared" si="1"/>
        <v>0.88462348242435074</v>
      </c>
    </row>
    <row r="9" spans="1:24" x14ac:dyDescent="0.25">
      <c r="A9">
        <v>7.0394042183737255</v>
      </c>
      <c r="B9">
        <v>7.2</v>
      </c>
      <c r="C9">
        <v>1.0136143553350216</v>
      </c>
      <c r="D9">
        <v>60.900000000000006</v>
      </c>
      <c r="E9">
        <v>52.298385778566768</v>
      </c>
      <c r="F9">
        <v>24.290743877134368</v>
      </c>
      <c r="G9">
        <v>345.11473116497706</v>
      </c>
      <c r="H9">
        <v>1.0137599999999991</v>
      </c>
      <c r="I9">
        <v>0.29336647194606741</v>
      </c>
      <c r="J9">
        <v>2.6149192889283386</v>
      </c>
      <c r="K9">
        <v>8.6574859683673303E-2</v>
      </c>
      <c r="L9">
        <v>98.099761270879384</v>
      </c>
      <c r="M9">
        <v>1.3965935260722255</v>
      </c>
      <c r="N9">
        <v>1.8081582733491661</v>
      </c>
      <c r="O9">
        <v>6.0992040151746698</v>
      </c>
      <c r="P9" s="1">
        <f t="shared" si="2"/>
        <v>105.1936370131025</v>
      </c>
      <c r="Q9" s="1">
        <f t="shared" si="0"/>
        <v>21.987592779504716</v>
      </c>
      <c r="R9" s="1">
        <f t="shared" si="3"/>
        <v>2.799493877165343</v>
      </c>
      <c r="S9" s="1">
        <f t="shared" si="4"/>
        <v>0.2972872298726903</v>
      </c>
      <c r="T9" s="1">
        <f t="shared" si="1"/>
        <v>0.78527316052325458</v>
      </c>
    </row>
    <row r="10" spans="1:24" x14ac:dyDescent="0.25">
      <c r="A10">
        <v>8.0526787622214702</v>
      </c>
      <c r="B10">
        <v>7</v>
      </c>
      <c r="C10">
        <v>1.021341560410757</v>
      </c>
      <c r="D10">
        <v>67.900000000000006</v>
      </c>
      <c r="E10">
        <v>47.647477407484374</v>
      </c>
      <c r="F10">
        <v>22.159841962747041</v>
      </c>
      <c r="G10">
        <v>370.4923590062528</v>
      </c>
      <c r="H10">
        <v>0.98559999999999914</v>
      </c>
      <c r="I10">
        <v>0.27527753990990134</v>
      </c>
      <c r="J10">
        <v>2.3823738703742188</v>
      </c>
      <c r="K10">
        <v>8.6680276039784787E-2</v>
      </c>
      <c r="L10">
        <v>97.975030691369497</v>
      </c>
      <c r="M10">
        <v>1.4475350626396353</v>
      </c>
      <c r="N10">
        <v>1.5872339130830448</v>
      </c>
      <c r="O10">
        <v>4.8902034751589625</v>
      </c>
      <c r="P10" s="1">
        <f t="shared" si="2"/>
        <v>110.08384048826147</v>
      </c>
      <c r="Q10" s="1">
        <f t="shared" si="0"/>
        <v>24.724474840052959</v>
      </c>
      <c r="R10" s="1">
        <f t="shared" si="3"/>
        <v>2.7368820605482433</v>
      </c>
      <c r="S10" s="1">
        <f t="shared" si="4"/>
        <v>0.30520532950100204</v>
      </c>
      <c r="T10" s="1">
        <f t="shared" si="1"/>
        <v>0.689326929941672</v>
      </c>
    </row>
    <row r="11" spans="1:24" x14ac:dyDescent="0.25">
      <c r="A11">
        <v>9.0527608419106045</v>
      </c>
      <c r="B11">
        <v>6.7</v>
      </c>
      <c r="C11">
        <v>1.0081490962521504</v>
      </c>
      <c r="D11">
        <v>74.600000000000009</v>
      </c>
      <c r="E11">
        <v>42.529114925481778</v>
      </c>
      <c r="F11">
        <v>19.802424483896516</v>
      </c>
      <c r="G11">
        <v>384.79640977988652</v>
      </c>
      <c r="H11">
        <v>0.9433599999999992</v>
      </c>
      <c r="I11">
        <v>0.25700745598827401</v>
      </c>
      <c r="J11">
        <v>2.1264557462740892</v>
      </c>
      <c r="K11">
        <v>8.6801474367125583E-2</v>
      </c>
      <c r="L11">
        <v>97.832000980529415</v>
      </c>
      <c r="M11">
        <v>1.4926598204315438</v>
      </c>
      <c r="N11">
        <v>1.37403340358103</v>
      </c>
      <c r="O11">
        <v>3.9512556069594615</v>
      </c>
      <c r="P11" s="1">
        <f t="shared" si="2"/>
        <v>114.03509609522094</v>
      </c>
      <c r="Q11" s="1">
        <f t="shared" si="0"/>
        <v>27.409858934538612</v>
      </c>
      <c r="R11" s="1">
        <f t="shared" si="3"/>
        <v>2.6853840944856522</v>
      </c>
      <c r="S11" s="1">
        <f t="shared" si="4"/>
        <v>0.31203078507233489</v>
      </c>
      <c r="T11" s="1">
        <f t="shared" si="1"/>
        <v>0.59673512512598514</v>
      </c>
    </row>
    <row r="12" spans="1:24" x14ac:dyDescent="0.25">
      <c r="A12">
        <v>10.064385324138454</v>
      </c>
      <c r="B12">
        <v>6.6000000000000005</v>
      </c>
      <c r="C12">
        <v>1.019691498790865</v>
      </c>
      <c r="D12">
        <v>81.2</v>
      </c>
      <c r="E12">
        <v>38.909236597821582</v>
      </c>
      <c r="F12">
        <v>18.135554826388585</v>
      </c>
      <c r="G12">
        <v>405.90803809792772</v>
      </c>
      <c r="H12">
        <v>0.92927999999999922</v>
      </c>
      <c r="I12">
        <v>0.23894011628970471</v>
      </c>
      <c r="J12">
        <v>1.9454618298910793</v>
      </c>
      <c r="K12">
        <v>8.6939274682906437E-2</v>
      </c>
      <c r="L12">
        <v>97.669863238616529</v>
      </c>
      <c r="M12">
        <v>1.5327643670118938</v>
      </c>
      <c r="N12">
        <v>1.1671648421998775</v>
      </c>
      <c r="O12">
        <v>3.212870718119595</v>
      </c>
      <c r="P12" s="1">
        <f t="shared" si="2"/>
        <v>117.24796681334053</v>
      </c>
      <c r="Q12" s="1">
        <f t="shared" si="0"/>
        <v>30.052488406783713</v>
      </c>
      <c r="R12" s="1">
        <f t="shared" si="3"/>
        <v>2.6426294722451011</v>
      </c>
      <c r="S12" s="1">
        <f t="shared" si="4"/>
        <v>0.31806261610159658</v>
      </c>
      <c r="T12" s="1">
        <f t="shared" si="1"/>
        <v>0.50689325043888644</v>
      </c>
    </row>
    <row r="13" spans="1:24" x14ac:dyDescent="0.25">
      <c r="A13">
        <v>11.068279113456258</v>
      </c>
      <c r="B13">
        <v>6.4</v>
      </c>
      <c r="C13">
        <v>1.0119608058808176</v>
      </c>
      <c r="D13">
        <v>87.600000000000009</v>
      </c>
      <c r="E13">
        <v>34.915170980290952</v>
      </c>
      <c r="F13">
        <v>16.288781110555046</v>
      </c>
      <c r="G13">
        <v>417.20574808196699</v>
      </c>
      <c r="H13">
        <v>0.90111999999999925</v>
      </c>
      <c r="I13">
        <v>0.22131496074123716</v>
      </c>
      <c r="J13">
        <v>1.7457585490145477</v>
      </c>
      <c r="K13">
        <v>8.7095137405044737E-2</v>
      </c>
      <c r="L13">
        <v>97.487091367582551</v>
      </c>
      <c r="M13">
        <v>1.5685840458090683</v>
      </c>
      <c r="N13">
        <v>0.9649101324280065</v>
      </c>
      <c r="O13">
        <v>2.6245517837797014</v>
      </c>
      <c r="P13" s="1">
        <f t="shared" si="2"/>
        <v>119.87251859712023</v>
      </c>
      <c r="Q13" s="1">
        <f t="shared" si="0"/>
        <v>32.6575503502389</v>
      </c>
      <c r="R13" s="1">
        <f t="shared" si="3"/>
        <v>2.6050619434551869</v>
      </c>
      <c r="S13" s="1">
        <f t="shared" si="4"/>
        <v>0.32354944279279235</v>
      </c>
      <c r="T13" s="1">
        <f t="shared" si="1"/>
        <v>0.41905514604601923</v>
      </c>
    </row>
    <row r="14" spans="1:24" x14ac:dyDescent="0.25">
      <c r="A14">
        <v>12.076592052181825</v>
      </c>
      <c r="B14">
        <v>6.3000000000000007</v>
      </c>
      <c r="C14">
        <v>1.0163799552885819</v>
      </c>
      <c r="D14">
        <v>93.9</v>
      </c>
      <c r="E14">
        <v>31.716919132601884</v>
      </c>
      <c r="F14">
        <v>14.808687636229527</v>
      </c>
      <c r="G14">
        <v>431.65431395807826</v>
      </c>
      <c r="H14">
        <v>0.88703999999999927</v>
      </c>
      <c r="I14">
        <v>0.20439872513774365</v>
      </c>
      <c r="J14">
        <v>1.5858459566300942</v>
      </c>
      <c r="K14">
        <v>8.726978315898698E-2</v>
      </c>
      <c r="L14">
        <v>97.283069251374826</v>
      </c>
      <c r="M14">
        <v>1.60049672813582</v>
      </c>
      <c r="N14">
        <v>0.76737398413830549</v>
      </c>
      <c r="O14">
        <v>2.1541021136608007</v>
      </c>
      <c r="P14" s="1">
        <f t="shared" si="2"/>
        <v>122.02662071078103</v>
      </c>
      <c r="Q14" s="1">
        <f t="shared" si="0"/>
        <v>35.231355016334888</v>
      </c>
      <c r="R14" s="1">
        <f t="shared" si="3"/>
        <v>2.5738046660959881</v>
      </c>
      <c r="S14" s="1">
        <f t="shared" si="4"/>
        <v>0.32846978430019297</v>
      </c>
      <c r="T14" s="1">
        <f t="shared" si="1"/>
        <v>0.33326628686737958</v>
      </c>
    </row>
    <row r="15" spans="1:24" x14ac:dyDescent="0.25">
      <c r="A15">
        <v>13.086636567562394</v>
      </c>
      <c r="B15">
        <v>6.2</v>
      </c>
      <c r="C15">
        <v>1.0181115319435849</v>
      </c>
      <c r="D15">
        <v>100.10000000000001</v>
      </c>
      <c r="E15">
        <v>28.725729961398383</v>
      </c>
      <c r="F15">
        <v>13.421775469417362</v>
      </c>
      <c r="G15">
        <v>443.51823165914504</v>
      </c>
      <c r="H15">
        <v>0.87295999999999929</v>
      </c>
      <c r="I15">
        <v>0.18824369522324497</v>
      </c>
      <c r="J15">
        <v>1.4362864980699193</v>
      </c>
      <c r="K15">
        <v>8.7465649519539557E-2</v>
      </c>
      <c r="L15">
        <v>97.055226375708344</v>
      </c>
      <c r="M15">
        <v>1.6291040570654338</v>
      </c>
      <c r="N15">
        <v>0.5729486403121522</v>
      </c>
      <c r="O15">
        <v>1.773488729586278</v>
      </c>
      <c r="P15" s="1">
        <f t="shared" si="2"/>
        <v>123.80010944036731</v>
      </c>
      <c r="Q15" s="1">
        <f t="shared" si="0"/>
        <v>37.776747355546092</v>
      </c>
      <c r="R15" s="1">
        <f t="shared" si="3"/>
        <v>2.5453923392112046</v>
      </c>
      <c r="S15" s="1">
        <f t="shared" si="4"/>
        <v>0.33305181601414324</v>
      </c>
      <c r="T15" s="1">
        <f t="shared" si="1"/>
        <v>0.24882843290153872</v>
      </c>
    </row>
    <row r="16" spans="1:24" x14ac:dyDescent="0.25">
      <c r="A16">
        <v>14.096008827360183</v>
      </c>
      <c r="B16">
        <v>6.1000000000000005</v>
      </c>
      <c r="C16">
        <v>1.0174392763608091</v>
      </c>
      <c r="D16">
        <v>106.2</v>
      </c>
      <c r="E16">
        <v>25.953323628014115</v>
      </c>
      <c r="F16">
        <v>12.134199025006023</v>
      </c>
      <c r="G16">
        <v>453.0207980268317</v>
      </c>
      <c r="H16">
        <v>0.85887999999999931</v>
      </c>
      <c r="I16">
        <v>0.1729750395581757</v>
      </c>
      <c r="J16">
        <v>1.2976661814007058</v>
      </c>
      <c r="K16">
        <v>8.7684171740982905E-2</v>
      </c>
      <c r="L16">
        <v>96.802230233259337</v>
      </c>
      <c r="M16">
        <v>1.6547086226193268</v>
      </c>
      <c r="N16">
        <v>0.38163410099812339</v>
      </c>
      <c r="O16">
        <v>1.464676063564331</v>
      </c>
      <c r="P16" s="1">
        <f t="shared" si="2"/>
        <v>125.26478550393163</v>
      </c>
      <c r="Q16" s="1">
        <f t="shared" si="0"/>
        <v>40.297040672240563</v>
      </c>
      <c r="R16" s="1">
        <f t="shared" si="3"/>
        <v>2.5202933166944703</v>
      </c>
      <c r="S16" s="1">
        <f t="shared" si="4"/>
        <v>0.33727843213121972</v>
      </c>
      <c r="T16" s="1">
        <f t="shared" si="1"/>
        <v>0.16574158416959328</v>
      </c>
    </row>
    <row r="17" spans="1:20" x14ac:dyDescent="0.25">
      <c r="A17">
        <v>15.102568662488546</v>
      </c>
      <c r="B17">
        <v>6</v>
      </c>
      <c r="C17">
        <v>1.0146268516913735</v>
      </c>
      <c r="D17">
        <v>112.2</v>
      </c>
      <c r="E17">
        <v>23.402758750132175</v>
      </c>
      <c r="F17">
        <v>10.947976732963815</v>
      </c>
      <c r="G17">
        <v>460.38104346337184</v>
      </c>
      <c r="H17">
        <v>0.84479999999999933</v>
      </c>
      <c r="I17">
        <v>0.15866632946324369</v>
      </c>
      <c r="J17">
        <v>1.1701379375066088</v>
      </c>
      <c r="K17">
        <v>8.7926888109876533E-2</v>
      </c>
      <c r="L17">
        <v>96.522697171482008</v>
      </c>
      <c r="M17">
        <v>1.677599725213937</v>
      </c>
      <c r="N17">
        <v>0.19343036624402529</v>
      </c>
      <c r="O17">
        <v>1.2134048896696306</v>
      </c>
      <c r="P17" s="1">
        <f t="shared" si="2"/>
        <v>126.47819039360127</v>
      </c>
      <c r="Q17" s="1">
        <f t="shared" si="0"/>
        <v>42.79609682643266</v>
      </c>
      <c r="R17" s="1">
        <f t="shared" si="3"/>
        <v>2.4990561541920968</v>
      </c>
      <c r="S17" s="1">
        <f t="shared" si="4"/>
        <v>0.34113598733394851</v>
      </c>
      <c r="T17" s="1">
        <f t="shared" si="1"/>
        <v>8.4005740692305209E-2</v>
      </c>
    </row>
    <row r="18" spans="1:20" x14ac:dyDescent="0.25">
      <c r="A18">
        <v>16.10441768940785</v>
      </c>
      <c r="B18">
        <v>5.9</v>
      </c>
      <c r="C18">
        <v>1.0099160434823207</v>
      </c>
      <c r="D18">
        <v>118.10000000000001</v>
      </c>
      <c r="E18">
        <v>21.070654690469425</v>
      </c>
      <c r="F18">
        <v>9.8620276489741308</v>
      </c>
      <c r="G18">
        <v>465.80894250766266</v>
      </c>
      <c r="H18">
        <v>0.83071999999999935</v>
      </c>
      <c r="I18">
        <v>0.14535044434744479</v>
      </c>
      <c r="J18">
        <v>1.0535327345234713</v>
      </c>
      <c r="K18">
        <v>8.8195428146014943E-2</v>
      </c>
      <c r="L18">
        <v>96.215216168309027</v>
      </c>
      <c r="M18">
        <v>1.6980491981683119</v>
      </c>
      <c r="N18">
        <v>8.337436096889585E-3</v>
      </c>
      <c r="O18">
        <v>1.0083722893120399</v>
      </c>
      <c r="P18" s="1">
        <f t="shared" si="2"/>
        <v>127.4865626829133</v>
      </c>
      <c r="Q18" s="1">
        <f t="shared" si="0"/>
        <v>45.278426469864812</v>
      </c>
      <c r="R18" s="1">
        <f t="shared" si="3"/>
        <v>2.482329643432152</v>
      </c>
      <c r="S18" s="1">
        <f t="shared" si="4"/>
        <v>0.34461208996149961</v>
      </c>
      <c r="T18" s="1">
        <f t="shared" si="1"/>
        <v>3.6209024901001328E-3</v>
      </c>
    </row>
    <row r="19" spans="1:20" x14ac:dyDescent="0.25">
      <c r="A19">
        <v>17.117126283778294</v>
      </c>
      <c r="B19">
        <v>5.9</v>
      </c>
      <c r="C19">
        <v>1.0207756109334709</v>
      </c>
      <c r="D19">
        <v>124</v>
      </c>
      <c r="E19">
        <v>19.261089982637703</v>
      </c>
      <c r="F19">
        <v>9.0191917186491413</v>
      </c>
      <c r="G19">
        <v>477.69194917600277</v>
      </c>
      <c r="H19">
        <v>0.83071999999999935</v>
      </c>
      <c r="I19">
        <v>0.13292839673764392</v>
      </c>
      <c r="J19">
        <v>0.96305449913188523</v>
      </c>
      <c r="K19">
        <v>8.849414788089198E-2</v>
      </c>
      <c r="L19">
        <v>95.875371615949177</v>
      </c>
      <c r="M19">
        <v>1.7164552446956682</v>
      </c>
      <c r="N19">
        <v>-0.17515256390311035</v>
      </c>
      <c r="O19">
        <v>0.8393289596986222</v>
      </c>
      <c r="P19" s="1">
        <f t="shared" si="2"/>
        <v>128.32589164261194</v>
      </c>
      <c r="Q19" s="1">
        <f t="shared" si="0"/>
        <v>47.745244571044751</v>
      </c>
      <c r="R19" s="1">
        <f t="shared" si="3"/>
        <v>2.466818101179939</v>
      </c>
      <c r="S19" s="1">
        <f t="shared" si="4"/>
        <v>0.34790421822798084</v>
      </c>
      <c r="T19" s="1">
        <f t="shared" si="1"/>
        <v>-7.6067791994327519E-2</v>
      </c>
    </row>
    <row r="20" spans="1:20" x14ac:dyDescent="0.25">
      <c r="A20">
        <v>18.122273812418534</v>
      </c>
      <c r="B20">
        <v>5.8000000000000007</v>
      </c>
      <c r="C20">
        <v>1.0132145452032559</v>
      </c>
      <c r="D20">
        <v>129.80000000000001</v>
      </c>
      <c r="E20">
        <v>17.284967425581943</v>
      </c>
      <c r="F20">
        <v>8.0971742962257096</v>
      </c>
      <c r="G20">
        <v>480.1772330309476</v>
      </c>
      <c r="H20">
        <v>0.81663999999999937</v>
      </c>
      <c r="I20">
        <v>0.12139691598539294</v>
      </c>
      <c r="J20">
        <v>0.86424837127909715</v>
      </c>
      <c r="K20">
        <v>8.8825821928037924E-2</v>
      </c>
      <c r="L20">
        <v>95.500713861596779</v>
      </c>
      <c r="M20">
        <v>1.7330129804142067</v>
      </c>
      <c r="N20">
        <v>-0.3571346893970237</v>
      </c>
      <c r="O20">
        <v>0.69967825214592061</v>
      </c>
      <c r="P20" s="1">
        <f t="shared" si="2"/>
        <v>129.02556989475787</v>
      </c>
      <c r="Q20" s="1">
        <f t="shared" si="0"/>
        <v>50.197721154208992</v>
      </c>
      <c r="R20" s="1">
        <f t="shared" si="3"/>
        <v>2.4524765831642412</v>
      </c>
      <c r="S20" s="1">
        <f t="shared" si="4"/>
        <v>0.35100597483240603</v>
      </c>
      <c r="T20" s="1">
        <f t="shared" si="1"/>
        <v>-0.15510162490135918</v>
      </c>
    </row>
    <row r="21" spans="1:20" x14ac:dyDescent="0.25">
      <c r="A21">
        <v>19.13605270636009</v>
      </c>
      <c r="B21">
        <v>5.8000000000000007</v>
      </c>
      <c r="C21">
        <v>1.0218459105045781</v>
      </c>
      <c r="D21">
        <v>135.6</v>
      </c>
      <c r="E21">
        <v>15.761846056474072</v>
      </c>
      <c r="F21">
        <v>7.3863804280982785</v>
      </c>
      <c r="G21">
        <v>489.74779440122165</v>
      </c>
      <c r="H21">
        <v>0.81663999999999937</v>
      </c>
      <c r="I21">
        <v>0.11074033625334752</v>
      </c>
      <c r="J21">
        <v>0.78809230282370368</v>
      </c>
      <c r="K21">
        <v>8.919333672291091E-2</v>
      </c>
      <c r="L21">
        <v>95.08882485275079</v>
      </c>
      <c r="M21">
        <v>1.74789464472682</v>
      </c>
      <c r="N21">
        <v>-0.53751468939702385</v>
      </c>
      <c r="O21">
        <v>0.58419836402699699</v>
      </c>
      <c r="P21" s="1">
        <f t="shared" si="2"/>
        <v>129.60976825878487</v>
      </c>
      <c r="Q21" s="1">
        <f t="shared" si="0"/>
        <v>52.637479759994605</v>
      </c>
      <c r="R21" s="1">
        <f t="shared" si="3"/>
        <v>2.4397586057856131</v>
      </c>
      <c r="S21" s="1">
        <f t="shared" si="4"/>
        <v>0.35391442265721462</v>
      </c>
      <c r="T21" s="1">
        <f t="shared" si="1"/>
        <v>-0.2334396635470678</v>
      </c>
    </row>
    <row r="22" spans="1:20" x14ac:dyDescent="0.25">
      <c r="A22">
        <v>20.139975331686042</v>
      </c>
      <c r="B22">
        <v>5.7</v>
      </c>
      <c r="C22">
        <v>1.0119896418889707</v>
      </c>
      <c r="D22">
        <v>141.30000000000001</v>
      </c>
      <c r="E22">
        <v>14.1126635202789</v>
      </c>
      <c r="F22">
        <v>6.6157145512806563</v>
      </c>
      <c r="G22">
        <v>489.80387362601812</v>
      </c>
      <c r="H22">
        <v>0.80255999999999938</v>
      </c>
      <c r="I22">
        <v>0.1009262326663716</v>
      </c>
      <c r="J22">
        <v>0.70563317601394504</v>
      </c>
      <c r="K22">
        <v>8.9599963990363171E-2</v>
      </c>
      <c r="L22">
        <v>94.637038327400674</v>
      </c>
      <c r="M22">
        <v>1.7612677637297405</v>
      </c>
      <c r="N22">
        <v>-0.71638601019223003</v>
      </c>
      <c r="O22">
        <v>0.48851455620137024</v>
      </c>
      <c r="P22" s="1">
        <f t="shared" si="2"/>
        <v>130.09828281498625</v>
      </c>
      <c r="Q22" s="1">
        <f t="shared" si="0"/>
        <v>55.066177823066361</v>
      </c>
      <c r="R22" s="1">
        <f t="shared" si="3"/>
        <v>2.4286980630717565</v>
      </c>
      <c r="S22" s="1">
        <f t="shared" si="4"/>
        <v>0.35662569648690978</v>
      </c>
      <c r="T22" s="1">
        <f t="shared" si="1"/>
        <v>-0.31112249113917223</v>
      </c>
    </row>
    <row r="23" spans="1:20" x14ac:dyDescent="0.25">
      <c r="A23">
        <v>21.15074400879638</v>
      </c>
      <c r="B23">
        <v>5.7</v>
      </c>
      <c r="C23">
        <v>1.0188356936733567</v>
      </c>
      <c r="D23">
        <v>147</v>
      </c>
      <c r="E23">
        <v>12.849220388030783</v>
      </c>
      <c r="F23">
        <v>6.0252189265534932</v>
      </c>
      <c r="G23">
        <v>497.47694860854494</v>
      </c>
      <c r="H23">
        <v>0.80255999999999938</v>
      </c>
      <c r="I23">
        <v>9.1917908871906914E-2</v>
      </c>
      <c r="J23">
        <v>0.64246101940153921</v>
      </c>
      <c r="K23">
        <v>9.0049059548865551E-2</v>
      </c>
      <c r="L23">
        <v>94.142808712392693</v>
      </c>
      <c r="M23">
        <v>1.7732783808953301</v>
      </c>
      <c r="N23">
        <v>-0.89365601019223007</v>
      </c>
      <c r="O23">
        <v>0.40915713228989181</v>
      </c>
      <c r="P23" s="1">
        <f t="shared" si="2"/>
        <v>130.50743994727614</v>
      </c>
      <c r="Q23" s="1">
        <f t="shared" si="0"/>
        <v>57.486007131518512</v>
      </c>
      <c r="R23" s="1">
        <f t="shared" si="3"/>
        <v>2.4198293084521509</v>
      </c>
      <c r="S23" s="1">
        <f t="shared" si="4"/>
        <v>0.35913713093706495</v>
      </c>
      <c r="T23" s="1">
        <f t="shared" si="1"/>
        <v>-0.3881098739461617</v>
      </c>
    </row>
    <row r="24" spans="1:20" x14ac:dyDescent="0.25">
      <c r="A24">
        <v>22.167712971081308</v>
      </c>
      <c r="B24">
        <v>5.7</v>
      </c>
      <c r="C24">
        <v>1.0250359788479433</v>
      </c>
      <c r="D24">
        <v>152.70000000000002</v>
      </c>
      <c r="E24">
        <v>11.683308514079602</v>
      </c>
      <c r="F24">
        <v>5.4799658872011143</v>
      </c>
      <c r="G24">
        <v>504.45835009883098</v>
      </c>
      <c r="H24">
        <v>0.80255999999999938</v>
      </c>
      <c r="I24">
        <v>8.3599784701771374E-2</v>
      </c>
      <c r="J24">
        <v>0.58416542570398011</v>
      </c>
      <c r="K24">
        <v>9.0548993063143152E-2</v>
      </c>
      <c r="L24">
        <v>93.598398244544313</v>
      </c>
      <c r="M24">
        <v>1.7841560741840834</v>
      </c>
      <c r="N24">
        <v>-1.0709260101922295</v>
      </c>
      <c r="O24">
        <v>0.34269103505419468</v>
      </c>
      <c r="P24" s="1">
        <f t="shared" si="2"/>
        <v>130.85013098233034</v>
      </c>
      <c r="Q24" s="1">
        <f t="shared" si="0"/>
        <v>59.895332234580245</v>
      </c>
      <c r="R24" s="1">
        <f t="shared" si="3"/>
        <v>2.4093251030617324</v>
      </c>
      <c r="S24" s="1">
        <f t="shared" si="4"/>
        <v>0.3616179705809196</v>
      </c>
      <c r="T24" s="1">
        <f t="shared" si="1"/>
        <v>-0.46509725675315094</v>
      </c>
    </row>
    <row r="25" spans="1:20" x14ac:dyDescent="0.25">
      <c r="A25">
        <v>23.172307430151051</v>
      </c>
      <c r="B25">
        <v>5.6000000000000005</v>
      </c>
      <c r="C25">
        <v>1.0126614756327563</v>
      </c>
      <c r="D25">
        <v>158.30000000000001</v>
      </c>
      <c r="E25">
        <v>10.43299904474404</v>
      </c>
      <c r="F25">
        <v>4.8946888849937427</v>
      </c>
      <c r="G25">
        <v>501.78967466805022</v>
      </c>
      <c r="H25">
        <v>0.7884799999999994</v>
      </c>
      <c r="I25">
        <v>7.600448579182835E-2</v>
      </c>
      <c r="J25">
        <v>0.52164995223720201</v>
      </c>
      <c r="K25">
        <v>9.110021775784316E-2</v>
      </c>
      <c r="L25">
        <v>93.005059583170919</v>
      </c>
      <c r="M25">
        <v>1.7939186769102553</v>
      </c>
      <c r="N25">
        <v>-1.2466865262440165</v>
      </c>
      <c r="O25">
        <v>0.28745569750771649</v>
      </c>
      <c r="P25" s="1">
        <f t="shared" si="2"/>
        <v>131.13758667983805</v>
      </c>
      <c r="Q25" s="1">
        <f t="shared" si="0"/>
        <v>62.296185613548147</v>
      </c>
      <c r="R25" s="1">
        <f t="shared" si="3"/>
        <v>2.4008533789679021</v>
      </c>
      <c r="S25" s="1">
        <f t="shared" si="4"/>
        <v>0.3639068745115257</v>
      </c>
      <c r="T25" s="1">
        <f t="shared" si="1"/>
        <v>-0.54142907901090997</v>
      </c>
    </row>
    <row r="26" spans="1:20" x14ac:dyDescent="0.25">
      <c r="A26">
        <v>24.181807363942699</v>
      </c>
      <c r="B26">
        <v>5.6000000000000005</v>
      </c>
      <c r="C26">
        <v>1.0175669503546692</v>
      </c>
      <c r="D26">
        <v>163.9</v>
      </c>
      <c r="E26">
        <v>9.4809788872050742</v>
      </c>
      <c r="F26">
        <v>4.4489975802404196</v>
      </c>
      <c r="G26">
        <v>507.35703651901991</v>
      </c>
      <c r="H26">
        <v>0.7884799999999994</v>
      </c>
      <c r="I26">
        <v>6.9083813357770515E-2</v>
      </c>
      <c r="J26">
        <v>0.47404894436025374</v>
      </c>
      <c r="K26">
        <v>9.1707002627877621E-2</v>
      </c>
      <c r="L26">
        <v>92.360163333706225</v>
      </c>
      <c r="M26">
        <v>1.802678453199372</v>
      </c>
      <c r="N26">
        <v>-1.4208465262440162</v>
      </c>
      <c r="O26">
        <v>0.24150948622069315</v>
      </c>
      <c r="P26" s="1">
        <f t="shared" si="2"/>
        <v>131.37909616605876</v>
      </c>
      <c r="Q26" s="1">
        <f t="shared" si="0"/>
        <v>64.691194741520505</v>
      </c>
      <c r="R26" s="1">
        <f t="shared" si="3"/>
        <v>2.395009127972358</v>
      </c>
      <c r="S26" s="1">
        <f t="shared" si="4"/>
        <v>0.36600123852482069</v>
      </c>
      <c r="T26" s="1">
        <f t="shared" si="1"/>
        <v>-0.61706580597918015</v>
      </c>
    </row>
    <row r="27" spans="1:20" x14ac:dyDescent="0.25">
      <c r="A27">
        <v>25.195747940981793</v>
      </c>
      <c r="B27">
        <v>5.6000000000000005</v>
      </c>
      <c r="C27">
        <v>1.0220075936021193</v>
      </c>
      <c r="D27">
        <v>169.5</v>
      </c>
      <c r="E27">
        <v>8.6076591758361545</v>
      </c>
      <c r="F27">
        <v>4.0399703551244164</v>
      </c>
      <c r="G27">
        <v>512.41392788776477</v>
      </c>
      <c r="H27">
        <v>0.7884799999999994</v>
      </c>
      <c r="I27">
        <v>6.2732458930503346E-2</v>
      </c>
      <c r="J27">
        <v>0.43038295879180777</v>
      </c>
      <c r="K27">
        <v>9.2380446948801181E-2</v>
      </c>
      <c r="L27">
        <v>91.654339760605225</v>
      </c>
      <c r="M27">
        <v>1.8106081732840957</v>
      </c>
      <c r="N27">
        <v>-1.5950065262440165</v>
      </c>
      <c r="O27">
        <v>0.20290720427629516</v>
      </c>
      <c r="P27" s="1">
        <f t="shared" si="2"/>
        <v>131.58200337033506</v>
      </c>
      <c r="Q27" s="1">
        <f t="shared" si="0"/>
        <v>67.079284843115346</v>
      </c>
      <c r="R27" s="1">
        <f t="shared" si="3"/>
        <v>2.388090101594841</v>
      </c>
      <c r="S27" s="1">
        <f t="shared" si="4"/>
        <v>0.36805368021147244</v>
      </c>
      <c r="T27" s="1">
        <f t="shared" si="1"/>
        <v>-0.69270253294745054</v>
      </c>
    </row>
    <row r="28" spans="1:20" x14ac:dyDescent="0.25">
      <c r="A28">
        <v>26.213706019469292</v>
      </c>
      <c r="B28">
        <v>5.6000000000000005</v>
      </c>
      <c r="C28">
        <v>1.0260250950505223</v>
      </c>
      <c r="D28">
        <v>175.10000000000002</v>
      </c>
      <c r="E28">
        <v>7.8080857360044584</v>
      </c>
      <c r="F28">
        <v>3.6653352148804186</v>
      </c>
      <c r="G28">
        <v>517.00301096830037</v>
      </c>
      <c r="H28">
        <v>0.7884799999999994</v>
      </c>
      <c r="I28">
        <v>5.6915143088205271E-2</v>
      </c>
      <c r="J28">
        <v>0.39040428680022293</v>
      </c>
      <c r="K28">
        <v>9.3127625173289208E-2</v>
      </c>
      <c r="L28">
        <v>90.88318305163908</v>
      </c>
      <c r="M28">
        <v>1.8177822830133914</v>
      </c>
      <c r="N28">
        <v>-1.7691665262440159</v>
      </c>
      <c r="O28">
        <v>0.17047501608114693</v>
      </c>
      <c r="P28" s="1">
        <f t="shared" si="2"/>
        <v>131.75247838641621</v>
      </c>
      <c r="Q28" s="1">
        <f t="shared" si="0"/>
        <v>69.459191657337271</v>
      </c>
      <c r="R28" s="1">
        <f t="shared" si="3"/>
        <v>2.3799068142219255</v>
      </c>
      <c r="S28" s="1">
        <f t="shared" si="4"/>
        <v>0.37006948061006184</v>
      </c>
      <c r="T28" s="1">
        <f t="shared" si="1"/>
        <v>-0.76833925991572072</v>
      </c>
    </row>
    <row r="29" spans="1:20" x14ac:dyDescent="0.25">
      <c r="A29">
        <v>27.217024388396627</v>
      </c>
      <c r="B29">
        <v>5.5</v>
      </c>
      <c r="C29">
        <v>1.011385385490341</v>
      </c>
      <c r="D29">
        <v>180.60000000000002</v>
      </c>
      <c r="E29">
        <v>6.9569532286991587</v>
      </c>
      <c r="F29">
        <v>3.26630176608445</v>
      </c>
      <c r="G29">
        <v>511.82349281047516</v>
      </c>
      <c r="H29">
        <v>0.77439999999999942</v>
      </c>
      <c r="I29">
        <v>5.164113464165139E-2</v>
      </c>
      <c r="J29">
        <v>0.34784766143495793</v>
      </c>
      <c r="K29">
        <v>9.3948671133579562E-2</v>
      </c>
      <c r="L29">
        <v>90.049933054340968</v>
      </c>
      <c r="M29">
        <v>1.8242152162315184</v>
      </c>
      <c r="N29">
        <v>-1.9418162375084442</v>
      </c>
      <c r="O29">
        <v>0.14344318615002793</v>
      </c>
      <c r="P29" s="1">
        <f t="shared" si="2"/>
        <v>131.89592157256624</v>
      </c>
      <c r="Q29" s="1">
        <f t="shared" si="0"/>
        <v>71.833336312412172</v>
      </c>
      <c r="R29" s="1">
        <f t="shared" si="3"/>
        <v>2.3741446550749004</v>
      </c>
      <c r="S29" s="1">
        <f t="shared" si="4"/>
        <v>0.37190762082585854</v>
      </c>
      <c r="T29" s="1">
        <f t="shared" si="1"/>
        <v>-0.84332007682005161</v>
      </c>
    </row>
    <row r="30" spans="1:20" x14ac:dyDescent="0.25">
      <c r="A30">
        <v>28.223515509485505</v>
      </c>
      <c r="B30">
        <v>5.5</v>
      </c>
      <c r="C30">
        <v>1.0145581376519011</v>
      </c>
      <c r="D30">
        <v>186.10000000000002</v>
      </c>
      <c r="E30">
        <v>6.3126403178035488</v>
      </c>
      <c r="F30">
        <v>2.9642119074265549</v>
      </c>
      <c r="G30">
        <v>515.46673399523627</v>
      </c>
      <c r="H30">
        <v>0.77439999999999942</v>
      </c>
      <c r="I30">
        <v>4.686501039409572E-2</v>
      </c>
      <c r="J30">
        <v>0.31563201589017748</v>
      </c>
      <c r="K30">
        <v>9.4849444825466395E-2</v>
      </c>
      <c r="L30">
        <v>89.152365219250356</v>
      </c>
      <c r="M30">
        <v>1.8299838565252329</v>
      </c>
      <c r="N30">
        <v>-2.1128662375084444</v>
      </c>
      <c r="O30">
        <v>0.12089096715527503</v>
      </c>
      <c r="P30" s="1">
        <f t="shared" si="2"/>
        <v>132.01681253972151</v>
      </c>
      <c r="Q30" s="1">
        <f t="shared" si="0"/>
        <v>74.204800097191182</v>
      </c>
      <c r="R30" s="1">
        <f t="shared" si="3"/>
        <v>2.3714637847790101</v>
      </c>
      <c r="S30" s="1">
        <f t="shared" si="4"/>
        <v>0.37356437740730924</v>
      </c>
      <c r="T30" s="1">
        <f t="shared" si="1"/>
        <v>-0.91760614794960282</v>
      </c>
    </row>
    <row r="31" spans="1:20" x14ac:dyDescent="0.25">
      <c r="A31">
        <v>29.232878201735296</v>
      </c>
      <c r="B31">
        <v>5.5</v>
      </c>
      <c r="C31">
        <v>1.0174297088128046</v>
      </c>
      <c r="D31">
        <v>191.60000000000002</v>
      </c>
      <c r="E31">
        <v>5.7245051645921574</v>
      </c>
      <c r="F31">
        <v>2.6883839462567485</v>
      </c>
      <c r="G31">
        <v>518.77153191077127</v>
      </c>
      <c r="H31">
        <v>0.77439999999999942</v>
      </c>
      <c r="I31">
        <v>4.2504094011964394E-2</v>
      </c>
      <c r="J31">
        <v>0.28622525822960787</v>
      </c>
      <c r="K31">
        <v>9.5846018302396307E-2</v>
      </c>
      <c r="L31">
        <v>88.178996293293878</v>
      </c>
      <c r="M31">
        <v>1.8352048949996203</v>
      </c>
      <c r="N31">
        <v>-2.2839162375084441</v>
      </c>
      <c r="O31">
        <v>0.10188442080791679</v>
      </c>
      <c r="P31" s="1">
        <f t="shared" si="2"/>
        <v>132.11869696052943</v>
      </c>
      <c r="Q31" s="1">
        <f t="shared" si="0"/>
        <v>76.573090757383326</v>
      </c>
      <c r="R31" s="1">
        <f t="shared" si="3"/>
        <v>2.3682906601921445</v>
      </c>
      <c r="S31" s="1">
        <f t="shared" si="4"/>
        <v>0.37517353121651775</v>
      </c>
      <c r="T31" s="1">
        <f t="shared" si="1"/>
        <v>-0.99189221907915404</v>
      </c>
    </row>
    <row r="32" spans="1:20" x14ac:dyDescent="0.25">
      <c r="A32">
        <v>30.244838913741226</v>
      </c>
      <c r="B32">
        <v>5.5</v>
      </c>
      <c r="C32">
        <v>1.0200277285689365</v>
      </c>
      <c r="D32">
        <v>197.10000000000002</v>
      </c>
      <c r="E32">
        <v>5.1883021824818965</v>
      </c>
      <c r="F32">
        <v>2.4368480391878049</v>
      </c>
      <c r="G32">
        <v>521.76758708359534</v>
      </c>
      <c r="H32">
        <v>0.77439999999999942</v>
      </c>
      <c r="I32">
        <v>3.85272417262894E-2</v>
      </c>
      <c r="J32">
        <v>0.25941510912409482</v>
      </c>
      <c r="K32">
        <v>9.6948200909415638E-2</v>
      </c>
      <c r="L32">
        <v>87.125781997303733</v>
      </c>
      <c r="M32">
        <v>1.8399285672835091</v>
      </c>
      <c r="N32">
        <v>-2.4549662375084447</v>
      </c>
      <c r="O32">
        <v>8.5866094445516364E-2</v>
      </c>
      <c r="P32" s="1">
        <f t="shared" si="2"/>
        <v>132.20456305497495</v>
      </c>
      <c r="Q32" s="1">
        <f t="shared" si="0"/>
        <v>78.937627370637543</v>
      </c>
      <c r="R32" s="1">
        <f t="shared" si="3"/>
        <v>2.3645366132542165</v>
      </c>
      <c r="S32" s="1">
        <f t="shared" si="4"/>
        <v>0.37673869291896445</v>
      </c>
      <c r="T32" s="1">
        <f t="shared" si="1"/>
        <v>-1.0661782902087054</v>
      </c>
    </row>
    <row r="33" spans="1:20" x14ac:dyDescent="0.25">
      <c r="A33">
        <v>31.259149370866261</v>
      </c>
      <c r="B33">
        <v>5.5</v>
      </c>
      <c r="C33">
        <v>1.0223774736880615</v>
      </c>
      <c r="D33">
        <v>202.60000000000002</v>
      </c>
      <c r="E33">
        <v>4.6999803969256719</v>
      </c>
      <c r="F33">
        <v>2.2077214422391589</v>
      </c>
      <c r="G33">
        <v>524.48231843984149</v>
      </c>
      <c r="H33">
        <v>0.77439999999999942</v>
      </c>
      <c r="I33">
        <v>3.4904686833820704E-2</v>
      </c>
      <c r="J33">
        <v>0.2349990198462836</v>
      </c>
      <c r="K33">
        <v>9.8166740372757508E-2</v>
      </c>
      <c r="L33">
        <v>85.98890757386836</v>
      </c>
      <c r="M33">
        <v>1.8442008311364269</v>
      </c>
      <c r="N33">
        <v>-2.6260162375084448</v>
      </c>
      <c r="O33">
        <v>7.236617842905213E-2</v>
      </c>
      <c r="P33" s="1">
        <f t="shared" si="2"/>
        <v>132.27692923340402</v>
      </c>
      <c r="Q33" s="1">
        <f t="shared" si="0"/>
        <v>81.297725065565132</v>
      </c>
      <c r="R33" s="1">
        <f t="shared" si="3"/>
        <v>2.3600976949275889</v>
      </c>
      <c r="S33" s="1">
        <f t="shared" si="4"/>
        <v>0.37826389505367858</v>
      </c>
      <c r="T33" s="1">
        <f t="shared" si="1"/>
        <v>-1.1404643613382568</v>
      </c>
    </row>
    <row r="34" spans="1:20" x14ac:dyDescent="0.25">
      <c r="A34">
        <v>32.275584387507791</v>
      </c>
      <c r="B34">
        <v>5.5</v>
      </c>
      <c r="C34">
        <v>1.0245020332045383</v>
      </c>
      <c r="D34">
        <v>208.10000000000002</v>
      </c>
      <c r="E34">
        <v>4.2557018490265097</v>
      </c>
      <c r="F34">
        <v>1.9992178541614893</v>
      </c>
      <c r="G34">
        <v>526.94097588517991</v>
      </c>
      <c r="H34">
        <v>0.77439999999999942</v>
      </c>
      <c r="I34">
        <v>3.1608187417572965E-2</v>
      </c>
      <c r="J34">
        <v>0.21278509245132549</v>
      </c>
      <c r="K34">
        <v>9.9513395735877197E-2</v>
      </c>
      <c r="L34">
        <v>84.764890233056718</v>
      </c>
      <c r="M34">
        <v>1.8480636666209642</v>
      </c>
      <c r="N34">
        <v>-2.7970662375084445</v>
      </c>
      <c r="O34">
        <v>6.0988726857121693E-2</v>
      </c>
      <c r="P34" s="1">
        <f t="shared" si="2"/>
        <v>132.33791796026114</v>
      </c>
      <c r="Q34" s="1">
        <f t="shared" si="0"/>
        <v>83.652577384565802</v>
      </c>
      <c r="R34" s="1">
        <f t="shared" si="3"/>
        <v>2.3548523190006705</v>
      </c>
      <c r="S34" s="1">
        <f t="shared" si="4"/>
        <v>0.37975359364179279</v>
      </c>
      <c r="T34" s="1">
        <f t="shared" si="1"/>
        <v>-1.2147504324678078</v>
      </c>
    </row>
    <row r="35" spans="1:20" x14ac:dyDescent="0.25">
      <c r="A35">
        <v>33.293939840142436</v>
      </c>
      <c r="B35">
        <v>5.5</v>
      </c>
      <c r="C35">
        <v>1.0264224691976644</v>
      </c>
      <c r="D35">
        <v>213.60000000000002</v>
      </c>
      <c r="E35">
        <v>3.8518522195327352</v>
      </c>
      <c r="F35">
        <v>1.8096530061711331</v>
      </c>
      <c r="G35">
        <v>529.16676074988447</v>
      </c>
      <c r="H35">
        <v>0.77439999999999942</v>
      </c>
      <c r="I35">
        <v>2.8611114722073252E-2</v>
      </c>
      <c r="J35">
        <v>0.19259261097663677</v>
      </c>
      <c r="K35">
        <v>0.10100101221876175</v>
      </c>
      <c r="L35">
        <v>83.450692446200733</v>
      </c>
      <c r="M35">
        <v>1.8515553684266257</v>
      </c>
      <c r="N35">
        <v>-2.9681162375084442</v>
      </c>
      <c r="O35">
        <v>5.1400044667265672E-2</v>
      </c>
      <c r="P35" s="1">
        <f t="shared" si="2"/>
        <v>132.38931800492841</v>
      </c>
      <c r="Q35" s="1">
        <f t="shared" si="0"/>
        <v>86.001236039947258</v>
      </c>
      <c r="R35" s="1">
        <f t="shared" si="3"/>
        <v>2.3486586553814561</v>
      </c>
      <c r="S35" s="1">
        <f t="shared" si="4"/>
        <v>0.38121268511299894</v>
      </c>
      <c r="T35" s="1">
        <f t="shared" si="1"/>
        <v>-1.289036503597359</v>
      </c>
    </row>
    <row r="36" spans="1:20" x14ac:dyDescent="0.25">
      <c r="A36">
        <v>34.29546920864879</v>
      </c>
      <c r="B36">
        <v>5.4</v>
      </c>
      <c r="C36">
        <v>1.0095963850693672</v>
      </c>
      <c r="D36">
        <v>219</v>
      </c>
      <c r="E36">
        <v>3.4247504795961863</v>
      </c>
      <c r="F36">
        <v>1.6091167633579146</v>
      </c>
      <c r="G36">
        <v>521.50629741564228</v>
      </c>
      <c r="H36">
        <v>0.76031999999999944</v>
      </c>
      <c r="I36">
        <v>2.5911703113654021E-2</v>
      </c>
      <c r="J36">
        <v>0.17123752397980932</v>
      </c>
      <c r="K36">
        <v>0.10262817262341591</v>
      </c>
      <c r="L36">
        <v>82.056845565742975</v>
      </c>
      <c r="M36">
        <v>1.8546840157525073</v>
      </c>
      <c r="N36">
        <v>-3.1376551439423497</v>
      </c>
      <c r="O36">
        <v>4.3384408917863715E-2</v>
      </c>
      <c r="P36" s="1">
        <f t="shared" si="2"/>
        <v>132.43270241384627</v>
      </c>
      <c r="Q36" s="1">
        <f t="shared" si="0"/>
        <v>88.346443175644666</v>
      </c>
      <c r="R36" s="1">
        <f t="shared" si="3"/>
        <v>2.3452071356974074</v>
      </c>
      <c r="S36" s="1">
        <f t="shared" si="4"/>
        <v>0.38252478888377173</v>
      </c>
      <c r="T36" s="1">
        <f t="shared" si="1"/>
        <v>-1.3626663151295157</v>
      </c>
    </row>
    <row r="37" spans="1:20" x14ac:dyDescent="0.25">
      <c r="A37">
        <v>35.298512858313536</v>
      </c>
      <c r="B37">
        <v>5.4</v>
      </c>
      <c r="C37">
        <v>1.0111106662277578</v>
      </c>
      <c r="D37">
        <v>224.4</v>
      </c>
      <c r="E37">
        <v>3.1032645443255618</v>
      </c>
      <c r="F37">
        <v>1.4581658264638269</v>
      </c>
      <c r="G37">
        <v>523.26587316291943</v>
      </c>
      <c r="H37">
        <v>0.76031999999999944</v>
      </c>
      <c r="I37">
        <v>2.3480931182992389E-2</v>
      </c>
      <c r="J37">
        <v>0.15516322721627809</v>
      </c>
      <c r="K37">
        <v>0.10440483371195232</v>
      </c>
      <c r="L37">
        <v>80.584552011054868</v>
      </c>
      <c r="M37">
        <v>1.8574882401199013</v>
      </c>
      <c r="N37">
        <v>-3.3055951439423494</v>
      </c>
      <c r="O37">
        <v>3.6677377020846696E-2</v>
      </c>
      <c r="P37" s="1">
        <f t="shared" si="2"/>
        <v>132.46937979086712</v>
      </c>
      <c r="Q37" s="1">
        <f t="shared" si="0"/>
        <v>90.69165340790974</v>
      </c>
      <c r="R37" s="1">
        <f t="shared" si="3"/>
        <v>2.3452102322650745</v>
      </c>
      <c r="S37" s="1">
        <f t="shared" si="4"/>
        <v>0.38368460300279755</v>
      </c>
      <c r="T37" s="1">
        <f t="shared" si="1"/>
        <v>-1.4356017304203479</v>
      </c>
    </row>
    <row r="38" spans="1:20" x14ac:dyDescent="0.25">
      <c r="A38">
        <v>36.302926935574398</v>
      </c>
      <c r="B38">
        <v>5.4</v>
      </c>
      <c r="C38">
        <v>1.0124810938238864</v>
      </c>
      <c r="D38">
        <v>229.8</v>
      </c>
      <c r="E38">
        <v>2.8111425927999365</v>
      </c>
      <c r="F38">
        <v>1.3209843418513845</v>
      </c>
      <c r="G38">
        <v>524.86003997447358</v>
      </c>
      <c r="H38">
        <v>0.76031999999999944</v>
      </c>
      <c r="I38">
        <v>2.1271889562824223E-2</v>
      </c>
      <c r="J38">
        <v>0.14055712963999684</v>
      </c>
      <c r="K38">
        <v>0.10636107944484303</v>
      </c>
      <c r="L38">
        <v>79.020334701696882</v>
      </c>
      <c r="M38">
        <v>1.8600260690015951</v>
      </c>
      <c r="N38">
        <v>-3.4735351439423501</v>
      </c>
      <c r="O38">
        <v>3.1007221688237139E-2</v>
      </c>
      <c r="P38" s="1">
        <f t="shared" si="2"/>
        <v>132.50038701255536</v>
      </c>
      <c r="Q38" s="1">
        <f t="shared" si="0"/>
        <v>93.036867303008393</v>
      </c>
      <c r="R38" s="1">
        <f t="shared" si="3"/>
        <v>2.3452138950986523</v>
      </c>
      <c r="S38" s="1">
        <f t="shared" si="4"/>
        <v>0.38480143339678347</v>
      </c>
      <c r="T38" s="1">
        <f t="shared" si="1"/>
        <v>-1.50853714571118</v>
      </c>
    </row>
    <row r="39" spans="1:20" x14ac:dyDescent="0.25">
      <c r="A39">
        <v>37.308581039515758</v>
      </c>
      <c r="B39">
        <v>5.4</v>
      </c>
      <c r="C39">
        <v>1.0137211205043868</v>
      </c>
      <c r="D39">
        <v>235.20000000000002</v>
      </c>
      <c r="E39">
        <v>2.5458521656423727</v>
      </c>
      <c r="F39">
        <v>1.1963881552833684</v>
      </c>
      <c r="G39">
        <v>526.30394920632216</v>
      </c>
      <c r="H39">
        <v>0.76031999999999944</v>
      </c>
      <c r="I39">
        <v>1.9265509746914152E-2</v>
      </c>
      <c r="J39">
        <v>0.12729260828211864</v>
      </c>
      <c r="K39">
        <v>0.10851383634123671</v>
      </c>
      <c r="L39">
        <v>77.36416758504636</v>
      </c>
      <c r="M39">
        <v>1.8623224147062225</v>
      </c>
      <c r="N39">
        <v>-3.6414751439423498</v>
      </c>
      <c r="O39">
        <v>2.6213646528676686E-2</v>
      </c>
      <c r="P39" s="1">
        <f t="shared" si="2"/>
        <v>132.52660065908404</v>
      </c>
      <c r="Q39" s="1">
        <f t="shared" si="0"/>
        <v>95.382085530761174</v>
      </c>
      <c r="R39" s="1">
        <f t="shared" si="3"/>
        <v>2.3452182277527811</v>
      </c>
      <c r="S39" s="1">
        <f t="shared" si="4"/>
        <v>0.38587701016114861</v>
      </c>
      <c r="T39" s="1">
        <f t="shared" si="1"/>
        <v>-1.5814725610020122</v>
      </c>
    </row>
    <row r="40" spans="1:20" x14ac:dyDescent="0.25">
      <c r="A40">
        <v>38.315357003265476</v>
      </c>
      <c r="B40">
        <v>5.4</v>
      </c>
      <c r="C40">
        <v>1.0148429803127559</v>
      </c>
      <c r="D40">
        <v>240.60000000000002</v>
      </c>
      <c r="E40">
        <v>2.3050513177393235</v>
      </c>
      <c r="F40">
        <v>1.083281542566068</v>
      </c>
      <c r="G40">
        <v>527.61143745935067</v>
      </c>
      <c r="H40">
        <v>0.76031999999999944</v>
      </c>
      <c r="I40">
        <v>1.7444147223286122E-2</v>
      </c>
      <c r="J40">
        <v>0.11525256588696618</v>
      </c>
      <c r="K40">
        <v>0.11088136935964557</v>
      </c>
      <c r="L40">
        <v>75.617020900817067</v>
      </c>
      <c r="M40">
        <v>1.8643999328698473</v>
      </c>
      <c r="N40">
        <v>-3.8094151439423496</v>
      </c>
      <c r="O40">
        <v>2.216113624237033E-2</v>
      </c>
      <c r="P40" s="1">
        <f t="shared" si="2"/>
        <v>132.54876179532641</v>
      </c>
      <c r="Q40" s="1">
        <f t="shared" si="0"/>
        <v>97.727308883483616</v>
      </c>
      <c r="R40" s="1">
        <f t="shared" si="3"/>
        <v>2.3452233527224422</v>
      </c>
      <c r="S40" s="1">
        <f t="shared" si="4"/>
        <v>0.38691302823525331</v>
      </c>
      <c r="T40" s="1">
        <f t="shared" si="1"/>
        <v>-1.6544079762928441</v>
      </c>
    </row>
    <row r="41" spans="1:20" x14ac:dyDescent="0.25">
      <c r="A41">
        <v>39.323147778399473</v>
      </c>
      <c r="B41">
        <v>5.4</v>
      </c>
      <c r="C41">
        <v>1.0158577916970226</v>
      </c>
      <c r="D41">
        <v>246</v>
      </c>
      <c r="E41">
        <v>2.0865797026269095</v>
      </c>
      <c r="F41">
        <v>0.98065321288359864</v>
      </c>
      <c r="G41">
        <v>528.79512704764738</v>
      </c>
      <c r="H41">
        <v>0.76031999999999944</v>
      </c>
      <c r="I41">
        <v>1.5791517115677927E-2</v>
      </c>
      <c r="J41">
        <v>0.10432898513134548</v>
      </c>
      <c r="K41">
        <v>0.11348333072616336</v>
      </c>
      <c r="L41">
        <v>73.780959453953201</v>
      </c>
      <c r="M41">
        <v>1.866279213211107</v>
      </c>
      <c r="N41">
        <v>-3.9773551439423498</v>
      </c>
      <c r="O41">
        <v>1.8735125577269005E-2</v>
      </c>
      <c r="P41" s="1">
        <f t="shared" si="2"/>
        <v>132.56749692090369</v>
      </c>
      <c r="Q41" s="1">
        <f t="shared" si="0"/>
        <v>100.07253829838584</v>
      </c>
      <c r="R41" s="1">
        <f t="shared" si="3"/>
        <v>2.3452294149022208</v>
      </c>
      <c r="S41" s="1">
        <f t="shared" si="4"/>
        <v>0.38791113976828773</v>
      </c>
      <c r="T41" s="1">
        <f t="shared" si="1"/>
        <v>-1.7273433915836764</v>
      </c>
    </row>
    <row r="42" spans="1:20" x14ac:dyDescent="0.25">
      <c r="A42">
        <v>40.331856415062909</v>
      </c>
      <c r="B42">
        <v>5.4</v>
      </c>
      <c r="C42">
        <v>1.0167756532264649</v>
      </c>
      <c r="D42">
        <v>251.4</v>
      </c>
      <c r="E42">
        <v>1.8884488926355394</v>
      </c>
      <c r="F42">
        <v>0.88757192083798686</v>
      </c>
      <c r="G42">
        <v>529.86652142517755</v>
      </c>
      <c r="H42">
        <v>0.76031999999999944</v>
      </c>
      <c r="I42">
        <v>1.4292623523961146E-2</v>
      </c>
      <c r="J42">
        <v>9.4422444631776972E-2</v>
      </c>
      <c r="K42">
        <v>0.11634079679560468</v>
      </c>
      <c r="L42">
        <v>71.859222256234872</v>
      </c>
      <c r="M42">
        <v>1.8679789567841392</v>
      </c>
      <c r="N42">
        <v>-4.1452951439423495</v>
      </c>
      <c r="O42">
        <v>1.5838760547166614E-2</v>
      </c>
      <c r="P42" s="1">
        <f t="shared" si="2"/>
        <v>132.58333568145085</v>
      </c>
      <c r="Q42" s="1">
        <f t="shared" si="0"/>
        <v>102.41777488406842</v>
      </c>
      <c r="R42" s="1">
        <f t="shared" si="3"/>
        <v>2.345236585682585</v>
      </c>
      <c r="S42" s="1">
        <f t="shared" si="4"/>
        <v>0.38887294848783671</v>
      </c>
      <c r="T42" s="1">
        <f t="shared" si="1"/>
        <v>-1.8002788068745086</v>
      </c>
    </row>
    <row r="43" spans="1:20" x14ac:dyDescent="0.25">
      <c r="A43">
        <v>41.341395130744516</v>
      </c>
      <c r="B43">
        <v>5.4</v>
      </c>
      <c r="C43">
        <v>1.0176057322446355</v>
      </c>
      <c r="D43">
        <v>256.8</v>
      </c>
      <c r="E43">
        <v>1.7088322770717757</v>
      </c>
      <c r="F43">
        <v>0.80318185300733447</v>
      </c>
      <c r="G43">
        <v>530.83609525585541</v>
      </c>
      <c r="H43">
        <v>0.76031999999999944</v>
      </c>
      <c r="I43">
        <v>1.293368523361247E-2</v>
      </c>
      <c r="J43">
        <v>8.5441613853588783E-2</v>
      </c>
      <c r="K43">
        <v>0.11947628903732527</v>
      </c>
      <c r="L43">
        <v>69.856277394629302</v>
      </c>
      <c r="M43">
        <v>1.8695161401511247</v>
      </c>
      <c r="N43">
        <v>-4.3132351439423493</v>
      </c>
      <c r="O43">
        <v>1.3390160350718621E-2</v>
      </c>
      <c r="P43" s="1">
        <f t="shared" si="2"/>
        <v>132.59672584180157</v>
      </c>
      <c r="Q43" s="1">
        <f t="shared" si="0"/>
        <v>104.76301995188373</v>
      </c>
      <c r="R43" s="1">
        <f t="shared" si="3"/>
        <v>2.3452450678153127</v>
      </c>
      <c r="S43" s="1">
        <f t="shared" si="4"/>
        <v>0.38980000568577955</v>
      </c>
      <c r="T43" s="1">
        <f t="shared" si="1"/>
        <v>-1.8732142221653405</v>
      </c>
    </row>
    <row r="44" spans="1:20" x14ac:dyDescent="0.25">
      <c r="A44">
        <v>42.351684460930038</v>
      </c>
      <c r="B44">
        <v>5.4</v>
      </c>
      <c r="C44">
        <v>1.018356346748535</v>
      </c>
      <c r="D44">
        <v>262.2</v>
      </c>
      <c r="E44">
        <v>1.5460548060016837</v>
      </c>
      <c r="F44">
        <v>0.72669791905707481</v>
      </c>
      <c r="G44">
        <v>531.71337897575165</v>
      </c>
      <c r="H44">
        <v>0.76031999999999944</v>
      </c>
      <c r="I44">
        <v>1.1702059888197662E-2</v>
      </c>
      <c r="J44">
        <v>7.7302740300084188E-2</v>
      </c>
      <c r="K44">
        <v>0.12291377459165619</v>
      </c>
      <c r="L44">
        <v>67.777846337365531</v>
      </c>
      <c r="M44">
        <v>1.8709061670102254</v>
      </c>
      <c r="N44">
        <v>-4.4811751439423499</v>
      </c>
      <c r="O44">
        <v>1.1320102585301802E-2</v>
      </c>
      <c r="P44" s="1">
        <f t="shared" si="2"/>
        <v>132.60804594438687</v>
      </c>
      <c r="Q44" s="1">
        <f t="shared" si="0"/>
        <v>107.10827505299775</v>
      </c>
      <c r="R44" s="1">
        <f t="shared" si="3"/>
        <v>2.3452551011140201</v>
      </c>
      <c r="S44" s="1">
        <f t="shared" si="4"/>
        <v>0.39069380750582883</v>
      </c>
      <c r="T44" s="1">
        <f t="shared" si="1"/>
        <v>-1.9461496374561726</v>
      </c>
    </row>
    <row r="45" spans="1:20" x14ac:dyDescent="0.25">
      <c r="A45">
        <v>43.362652485192577</v>
      </c>
      <c r="B45">
        <v>5.4</v>
      </c>
      <c r="C45">
        <v>1.0190350408255937</v>
      </c>
      <c r="D45">
        <v>267.60000000000002</v>
      </c>
      <c r="E45">
        <v>1.3985827854302162</v>
      </c>
      <c r="F45">
        <v>0.65740104780669495</v>
      </c>
      <c r="G45">
        <v>532.5070378231311</v>
      </c>
      <c r="H45">
        <v>0.76031999999999944</v>
      </c>
      <c r="I45">
        <v>1.05861682416537E-2</v>
      </c>
      <c r="J45">
        <v>6.9929139271510815E-2</v>
      </c>
      <c r="K45">
        <v>0.12667864117131478</v>
      </c>
      <c r="L45">
        <v>65.630892728717768</v>
      </c>
      <c r="M45">
        <v>1.87216300789359</v>
      </c>
      <c r="N45">
        <v>-4.6491151439423497</v>
      </c>
      <c r="O45">
        <v>9.5700663162618018E-3</v>
      </c>
      <c r="P45" s="1">
        <f t="shared" si="2"/>
        <v>132.61761601070313</v>
      </c>
      <c r="Q45" s="1">
        <f t="shared" si="0"/>
        <v>109.45354202226711</v>
      </c>
      <c r="R45" s="1">
        <f t="shared" si="3"/>
        <v>2.3452669692693604</v>
      </c>
      <c r="S45" s="1">
        <f t="shared" si="4"/>
        <v>0.39155579327293483</v>
      </c>
      <c r="T45" s="1">
        <f t="shared" si="1"/>
        <v>-2.0190850527470046</v>
      </c>
    </row>
    <row r="46" spans="1:20" x14ac:dyDescent="0.25">
      <c r="A46">
        <v>44.374234122635265</v>
      </c>
      <c r="B46">
        <v>5.4</v>
      </c>
      <c r="C46">
        <v>1.0196486540056964</v>
      </c>
      <c r="D46">
        <v>273</v>
      </c>
      <c r="E46">
        <v>1.2650138790174896</v>
      </c>
      <c r="F46">
        <v>0.59463356430845693</v>
      </c>
      <c r="G46">
        <v>533.22494540877801</v>
      </c>
      <c r="H46">
        <v>0.76031999999999944</v>
      </c>
      <c r="I46">
        <v>9.5754197151120355E-3</v>
      </c>
      <c r="J46">
        <v>6.3250693950874487E-2</v>
      </c>
      <c r="K46">
        <v>0.13079764041153838</v>
      </c>
      <c r="L46">
        <v>63.423572068010216</v>
      </c>
      <c r="M46">
        <v>1.8732993285975712</v>
      </c>
      <c r="N46">
        <v>-4.8170551439423495</v>
      </c>
      <c r="O46">
        <v>8.0905776787363725E-3</v>
      </c>
      <c r="P46" s="1">
        <f t="shared" si="2"/>
        <v>132.62570658838186</v>
      </c>
      <c r="Q46" s="1">
        <f t="shared" si="0"/>
        <v>111.79882303012494</v>
      </c>
      <c r="R46" s="1">
        <f t="shared" si="3"/>
        <v>2.345281007857821</v>
      </c>
      <c r="S46" s="1">
        <f t="shared" si="4"/>
        <v>0.39238734465114428</v>
      </c>
      <c r="T46" s="1">
        <f t="shared" si="1"/>
        <v>-2.0920204680378371</v>
      </c>
    </row>
    <row r="47" spans="1:20" x14ac:dyDescent="0.25">
      <c r="A47">
        <v>45.386370490970762</v>
      </c>
      <c r="B47">
        <v>5.4</v>
      </c>
      <c r="C47">
        <v>1.0202033848984882</v>
      </c>
      <c r="D47">
        <v>278.40000000000003</v>
      </c>
      <c r="E47">
        <v>1.1440674302734231</v>
      </c>
      <c r="F47">
        <v>0.53779470416006581</v>
      </c>
      <c r="G47">
        <v>533.87425197110838</v>
      </c>
      <c r="H47">
        <v>0.76031999999999944</v>
      </c>
      <c r="I47">
        <v>8.6601401636081481E-3</v>
      </c>
      <c r="J47">
        <v>5.7203371513671157E-2</v>
      </c>
      <c r="K47">
        <v>0.13529879314105728</v>
      </c>
      <c r="L47">
        <v>61.165140481105915</v>
      </c>
      <c r="M47">
        <v>1.8743266080286982</v>
      </c>
      <c r="N47">
        <v>-4.9849951439423492</v>
      </c>
      <c r="O47">
        <v>6.8398112418969984E-3</v>
      </c>
      <c r="P47" s="1">
        <f t="shared" si="2"/>
        <v>132.63254639962375</v>
      </c>
      <c r="Q47" s="1">
        <f t="shared" si="0"/>
        <v>114.1441206439647</v>
      </c>
      <c r="R47" s="1">
        <f t="shared" si="3"/>
        <v>2.3452976138397617</v>
      </c>
      <c r="S47" s="1">
        <f t="shared" si="4"/>
        <v>0.3931897854537113</v>
      </c>
      <c r="T47" s="1">
        <f t="shared" si="1"/>
        <v>-2.1649558833286688</v>
      </c>
    </row>
    <row r="48" spans="1:20" x14ac:dyDescent="0.25">
      <c r="A48">
        <v>46.399008323897213</v>
      </c>
      <c r="B48">
        <v>5.4</v>
      </c>
      <c r="C48">
        <v>1.0207048494894686</v>
      </c>
      <c r="D48">
        <v>283.8</v>
      </c>
      <c r="E48">
        <v>1.0345751859594174</v>
      </c>
      <c r="F48">
        <v>0.48633630524602273</v>
      </c>
      <c r="G48">
        <v>534.46144751265285</v>
      </c>
      <c r="H48">
        <v>0.76031999999999944</v>
      </c>
      <c r="I48">
        <v>7.8315024999359561E-3</v>
      </c>
      <c r="J48">
        <v>5.1728759297970876E-2</v>
      </c>
      <c r="K48">
        <v>0.14021124950433361</v>
      </c>
      <c r="L48">
        <v>58.865822977404633</v>
      </c>
      <c r="M48">
        <v>1.8752552461600946</v>
      </c>
      <c r="N48">
        <v>-5.1529351439423499</v>
      </c>
      <c r="O48">
        <v>5.7824075959044931E-3</v>
      </c>
      <c r="P48" s="1">
        <f t="shared" si="2"/>
        <v>132.63832880721966</v>
      </c>
      <c r="Q48" s="1">
        <f t="shared" si="0"/>
        <v>116.48943790076287</v>
      </c>
      <c r="R48" s="1">
        <f t="shared" si="3"/>
        <v>2.3453172567981682</v>
      </c>
      <c r="S48" s="1">
        <f t="shared" si="4"/>
        <v>0.39396438195993261</v>
      </c>
      <c r="T48" s="1">
        <f t="shared" si="1"/>
        <v>-2.237891298619501</v>
      </c>
    </row>
    <row r="49" spans="1:20" x14ac:dyDescent="0.25">
      <c r="A49">
        <v>47.412099441798709</v>
      </c>
      <c r="B49">
        <v>5.4</v>
      </c>
      <c r="C49">
        <v>1.0211581344645051</v>
      </c>
      <c r="D49">
        <v>289.2</v>
      </c>
      <c r="E49">
        <v>0.93547247488173257</v>
      </c>
      <c r="F49">
        <v>0.43975870427378022</v>
      </c>
      <c r="G49">
        <v>534.99242005051531</v>
      </c>
      <c r="H49">
        <v>0.76031999999999944</v>
      </c>
      <c r="I49">
        <v>7.0814606163249671E-3</v>
      </c>
      <c r="J49">
        <v>4.6773623744086633E-2</v>
      </c>
      <c r="K49">
        <v>0.14556509648056049</v>
      </c>
      <c r="L49">
        <v>56.536643987317085</v>
      </c>
      <c r="M49">
        <v>1.8760946627805477</v>
      </c>
      <c r="N49">
        <v>-5.3208751439423496</v>
      </c>
      <c r="O49">
        <v>4.888473734532558E-3</v>
      </c>
      <c r="P49" s="1">
        <f t="shared" si="2"/>
        <v>132.64321728095419</v>
      </c>
      <c r="Q49" s="1">
        <f t="shared" si="0"/>
        <v>118.83477839295003</v>
      </c>
      <c r="R49" s="1">
        <f t="shared" si="3"/>
        <v>2.3453404921871623</v>
      </c>
      <c r="S49" s="1">
        <f t="shared" si="4"/>
        <v>0.3947123436183449</v>
      </c>
      <c r="T49" s="1">
        <f t="shared" si="1"/>
        <v>-2.3108267139103331</v>
      </c>
    </row>
    <row r="50" spans="1:20" x14ac:dyDescent="0.25">
      <c r="A50">
        <v>48.425600271158771</v>
      </c>
      <c r="B50">
        <v>5.4</v>
      </c>
      <c r="C50">
        <v>1.0215678459230573</v>
      </c>
      <c r="D50">
        <v>294.60000000000002</v>
      </c>
      <c r="E50">
        <v>0.84578987527627636</v>
      </c>
      <c r="F50">
        <v>0.39760685529829254</v>
      </c>
      <c r="G50">
        <v>535.47250923667286</v>
      </c>
      <c r="H50">
        <v>0.76031999999999944</v>
      </c>
      <c r="I50">
        <v>6.402686880809862E-3</v>
      </c>
      <c r="J50">
        <v>4.2289493763813822E-2</v>
      </c>
      <c r="K50">
        <v>0.15139110519881965</v>
      </c>
      <c r="L50">
        <v>54.189225393632661</v>
      </c>
      <c r="M50">
        <v>1.8768533877038185</v>
      </c>
      <c r="N50">
        <v>-5.4888151439423503</v>
      </c>
      <c r="O50">
        <v>4.1327379740819948E-3</v>
      </c>
      <c r="P50" s="1">
        <f t="shared" si="2"/>
        <v>132.64735001892828</v>
      </c>
      <c r="Q50" s="1">
        <f t="shared" si="0"/>
        <v>121.18014637009395</v>
      </c>
      <c r="R50" s="1">
        <f t="shared" si="3"/>
        <v>2.3453679771439226</v>
      </c>
      <c r="S50" s="1">
        <f t="shared" si="4"/>
        <v>0.39543482403570224</v>
      </c>
      <c r="T50" s="1">
        <f t="shared" si="1"/>
        <v>-2.3837621292011657</v>
      </c>
    </row>
    <row r="51" spans="1:20" x14ac:dyDescent="0.25">
      <c r="A51">
        <v>49.439471408423096</v>
      </c>
      <c r="B51">
        <v>5.4</v>
      </c>
      <c r="C51">
        <v>1.0219381538273191</v>
      </c>
      <c r="D51">
        <v>300</v>
      </c>
      <c r="E51">
        <v>0.76464538757722944</v>
      </c>
      <c r="F51">
        <v>0.35946667945763261</v>
      </c>
      <c r="G51">
        <v>535.90655561721519</v>
      </c>
      <c r="H51">
        <v>0.76031999999999944</v>
      </c>
      <c r="I51">
        <v>5.7885133568056791E-3</v>
      </c>
      <c r="J51">
        <v>3.8232269378861476E-2</v>
      </c>
      <c r="K51">
        <v>0.15772041064040837</v>
      </c>
      <c r="L51">
        <v>51.835559478988181</v>
      </c>
      <c r="M51">
        <v>1.877539143082082</v>
      </c>
      <c r="N51">
        <v>-5.65675514394235</v>
      </c>
      <c r="O51">
        <v>3.4938355179794231E-3</v>
      </c>
      <c r="P51" s="1">
        <f t="shared" si="2"/>
        <v>132.65084385444626</v>
      </c>
      <c r="Q51" s="1">
        <f t="shared" si="0"/>
        <v>123.52554685907423</v>
      </c>
      <c r="R51" s="1">
        <f t="shared" si="3"/>
        <v>2.3454004889802746</v>
      </c>
      <c r="S51" s="1">
        <f t="shared" si="4"/>
        <v>0.39613292216885521</v>
      </c>
      <c r="T51" s="1">
        <f t="shared" si="1"/>
        <v>-2.4566975444919978</v>
      </c>
    </row>
    <row r="52" spans="1:20" x14ac:dyDescent="0.25">
      <c r="A52">
        <v>50.453677224378801</v>
      </c>
      <c r="B52">
        <v>5.4</v>
      </c>
      <c r="C52">
        <v>1.0222728325187267</v>
      </c>
      <c r="D52">
        <v>305.40000000000003</v>
      </c>
      <c r="E52">
        <v>0.69123711671148502</v>
      </c>
      <c r="F52">
        <v>0.32496164897444807</v>
      </c>
      <c r="G52">
        <v>536.2989458050647</v>
      </c>
      <c r="H52">
        <v>0.76031999999999944</v>
      </c>
      <c r="I52">
        <v>5.2328767950796818E-3</v>
      </c>
      <c r="J52">
        <v>3.4561855835574251E-2</v>
      </c>
      <c r="K52">
        <v>0.16458411696120279</v>
      </c>
      <c r="L52">
        <v>49.487765988059643</v>
      </c>
      <c r="M52">
        <v>1.8781589184364911</v>
      </c>
      <c r="N52">
        <v>-5.8246951439423498</v>
      </c>
      <c r="O52">
        <v>2.9537044698329956E-3</v>
      </c>
      <c r="P52" s="1">
        <f t="shared" si="2"/>
        <v>132.6537975589161</v>
      </c>
      <c r="Q52" s="1">
        <f t="shared" si="0"/>
        <v>125.87098580634841</v>
      </c>
      <c r="R52" s="1">
        <f t="shared" si="3"/>
        <v>2.3454389472741894</v>
      </c>
      <c r="S52" s="1">
        <f t="shared" si="4"/>
        <v>0.39680768364874319</v>
      </c>
      <c r="T52" s="1">
        <f t="shared" si="1"/>
        <v>-2.5296329597828295</v>
      </c>
    </row>
    <row r="53" spans="1:20" x14ac:dyDescent="0.25">
      <c r="A53">
        <v>51.46818550543167</v>
      </c>
      <c r="B53">
        <v>5.4</v>
      </c>
      <c r="C53">
        <v>1.0225752976158722</v>
      </c>
      <c r="D53">
        <v>310.8</v>
      </c>
      <c r="E53">
        <v>0.62483645847100611</v>
      </c>
      <c r="F53">
        <v>0.29374960378405846</v>
      </c>
      <c r="G53">
        <v>536.65365384018594</v>
      </c>
      <c r="H53">
        <v>0.76031999999999944</v>
      </c>
      <c r="I53">
        <v>4.7302673717239709E-3</v>
      </c>
      <c r="J53">
        <v>3.1241822923550308E-2</v>
      </c>
      <c r="K53">
        <v>0.17201282288086434</v>
      </c>
      <c r="L53">
        <v>47.157843658470988</v>
      </c>
      <c r="M53">
        <v>1.8787190389867947</v>
      </c>
      <c r="N53">
        <v>-5.9926351439423495</v>
      </c>
      <c r="O53">
        <v>2.4970752201171017E-3</v>
      </c>
      <c r="P53" s="1">
        <f t="shared" si="2"/>
        <v>132.6562946341362</v>
      </c>
      <c r="Q53" s="1">
        <f t="shared" si="0"/>
        <v>128.21647024624471</v>
      </c>
      <c r="R53" s="1">
        <f t="shared" si="3"/>
        <v>2.3454844398962962</v>
      </c>
      <c r="S53" s="1">
        <f t="shared" si="4"/>
        <v>0.39746010217745653</v>
      </c>
      <c r="T53" s="1">
        <f t="shared" si="1"/>
        <v>-2.6025683750736617</v>
      </c>
    </row>
    <row r="54" spans="1:20" x14ac:dyDescent="0.25">
      <c r="A54">
        <v>52.482967128458156</v>
      </c>
      <c r="B54">
        <v>5.4</v>
      </c>
      <c r="C54">
        <v>1.0228486395894787</v>
      </c>
      <c r="D54">
        <v>316.20000000000005</v>
      </c>
      <c r="E54">
        <v>0.56478177739914104</v>
      </c>
      <c r="F54">
        <v>0.26551979564832351</v>
      </c>
      <c r="G54">
        <v>536.9742790063068</v>
      </c>
      <c r="H54">
        <v>0.76031999999999944</v>
      </c>
      <c r="I54">
        <v>4.2756810893449827E-3</v>
      </c>
      <c r="J54">
        <v>2.8239088869957053E-2</v>
      </c>
      <c r="K54">
        <v>0.1800360634948919</v>
      </c>
      <c r="L54">
        <v>44.857426981909327</v>
      </c>
      <c r="M54">
        <v>1.8792252278268269</v>
      </c>
      <c r="N54">
        <v>-6.1605751439423502</v>
      </c>
      <c r="O54">
        <v>2.1110387713485167E-3</v>
      </c>
      <c r="P54" s="1">
        <f t="shared" si="2"/>
        <v>132.65840567290755</v>
      </c>
      <c r="Q54" s="1">
        <f t="shared" si="0"/>
        <v>130.56200850010364</v>
      </c>
      <c r="R54" s="1">
        <f t="shared" si="3"/>
        <v>2.3455382538589333</v>
      </c>
      <c r="S54" s="1">
        <f t="shared" si="4"/>
        <v>0.39809112094735927</v>
      </c>
      <c r="T54" s="1">
        <f t="shared" si="1"/>
        <v>-2.6755037903644938</v>
      </c>
    </row>
    <row r="55" spans="1:20" x14ac:dyDescent="0.25">
      <c r="A55">
        <v>53.497995766186484</v>
      </c>
      <c r="B55">
        <v>5.4</v>
      </c>
      <c r="C55">
        <v>1.0230956542913487</v>
      </c>
      <c r="D55">
        <v>321.60000000000002</v>
      </c>
      <c r="E55">
        <v>0.51047255849982154</v>
      </c>
      <c r="F55">
        <v>0.23999015207253074</v>
      </c>
      <c r="G55">
        <v>537.26408036489022</v>
      </c>
      <c r="H55">
        <v>0.76031999999999944</v>
      </c>
      <c r="I55">
        <v>3.8645757177541182E-3</v>
      </c>
      <c r="J55">
        <v>2.5523627924991077E-2</v>
      </c>
      <c r="K55">
        <v>0.18868166758159874</v>
      </c>
      <c r="L55">
        <v>42.597558571200061</v>
      </c>
      <c r="M55">
        <v>1.8796826624598664</v>
      </c>
      <c r="N55">
        <v>-6.3285151439423499</v>
      </c>
      <c r="O55">
        <v>1.7846817982229896E-3</v>
      </c>
      <c r="P55" s="1">
        <f t="shared" si="2"/>
        <v>132.66019035470578</v>
      </c>
      <c r="Q55" s="1">
        <f t="shared" si="0"/>
        <v>132.90761041184533</v>
      </c>
      <c r="R55" s="1">
        <f t="shared" si="3"/>
        <v>2.3456019117416815</v>
      </c>
      <c r="S55" s="1">
        <f t="shared" si="4"/>
        <v>0.39870163403825348</v>
      </c>
      <c r="T55" s="1">
        <f t="shared" si="1"/>
        <v>-2.748439205655326</v>
      </c>
    </row>
    <row r="56" spans="1:20" x14ac:dyDescent="0.25">
      <c r="A56">
        <v>54.513247620318914</v>
      </c>
      <c r="B56">
        <v>5.4</v>
      </c>
      <c r="C56">
        <v>1.0233188706954675</v>
      </c>
      <c r="D56">
        <v>327</v>
      </c>
      <c r="E56">
        <v>0.46136401153246476</v>
      </c>
      <c r="F56">
        <v>0.21690475056653863</v>
      </c>
      <c r="G56">
        <v>537.52600825650836</v>
      </c>
      <c r="H56">
        <v>0.76031999999999944</v>
      </c>
      <c r="I56">
        <v>3.4928301218444214E-3</v>
      </c>
      <c r="J56">
        <v>2.3068200576623239E-2</v>
      </c>
      <c r="K56">
        <v>0.19797503308317529</v>
      </c>
      <c r="L56">
        <v>40.388486373007815</v>
      </c>
      <c r="M56">
        <v>1.8800960261711661</v>
      </c>
      <c r="N56">
        <v>-6.4964551439423497</v>
      </c>
      <c r="O56">
        <v>1.5087781257915184E-3</v>
      </c>
      <c r="P56" s="1">
        <f t="shared" si="2"/>
        <v>132.66169913283156</v>
      </c>
      <c r="Q56" s="1">
        <f t="shared" si="0"/>
        <v>135.25328762674883</v>
      </c>
      <c r="R56" s="1">
        <f t="shared" si="3"/>
        <v>2.3456772149035032</v>
      </c>
      <c r="S56" s="1">
        <f t="shared" si="4"/>
        <v>0.39929248775297121</v>
      </c>
      <c r="T56" s="1">
        <f t="shared" si="1"/>
        <v>-2.8213746209461581</v>
      </c>
    </row>
    <row r="57" spans="1:20" x14ac:dyDescent="0.25">
      <c r="A57">
        <v>55.528701179846983</v>
      </c>
      <c r="B57">
        <v>5.4</v>
      </c>
      <c r="C57">
        <v>1.0235205760910722</v>
      </c>
      <c r="D57">
        <v>332.40000000000003</v>
      </c>
      <c r="E57">
        <v>0.41696210436197467</v>
      </c>
      <c r="F57">
        <v>0.19603149262158376</v>
      </c>
      <c r="G57">
        <v>537.76273300762637</v>
      </c>
      <c r="H57">
        <v>0.76031999999999944</v>
      </c>
      <c r="I57">
        <v>3.1567068055005434E-3</v>
      </c>
      <c r="J57">
        <v>2.0848105218098736E-2</v>
      </c>
      <c r="K57">
        <v>0.20793832797188896</v>
      </c>
      <c r="L57">
        <v>38.23949320428062</v>
      </c>
      <c r="M57">
        <v>1.8804695546816095</v>
      </c>
      <c r="N57">
        <v>-6.6643951439423494</v>
      </c>
      <c r="O57">
        <v>1.2755279037045099E-3</v>
      </c>
      <c r="P57" s="1">
        <f t="shared" si="2"/>
        <v>132.66297466073527</v>
      </c>
      <c r="Q57" s="1">
        <f t="shared" si="0"/>
        <v>137.5990539214921</v>
      </c>
      <c r="R57" s="1">
        <f t="shared" si="3"/>
        <v>2.3457662947432709</v>
      </c>
      <c r="S57" s="1">
        <f t="shared" si="4"/>
        <v>0.39986448185519846</v>
      </c>
      <c r="T57" s="1">
        <f t="shared" si="1"/>
        <v>-2.8943100362369902</v>
      </c>
    </row>
    <row r="58" spans="1:20" x14ac:dyDescent="0.25">
      <c r="A58">
        <v>56.544337002233704</v>
      </c>
      <c r="B58">
        <v>5.4</v>
      </c>
      <c r="C58">
        <v>1.0237028389497402</v>
      </c>
      <c r="D58">
        <v>337.8</v>
      </c>
      <c r="E58">
        <v>0.37681900051651046</v>
      </c>
      <c r="F58">
        <v>0.1771599660791971</v>
      </c>
      <c r="G58">
        <v>537.97667106768881</v>
      </c>
      <c r="H58">
        <v>0.76031999999999944</v>
      </c>
      <c r="I58">
        <v>2.852817489198022E-3</v>
      </c>
      <c r="J58">
        <v>1.8840950025825524E-2</v>
      </c>
      <c r="K58">
        <v>0.21858962912941393</v>
      </c>
      <c r="L58">
        <v>36.158763890769769</v>
      </c>
      <c r="M58">
        <v>1.8808070784939259</v>
      </c>
      <c r="N58">
        <v>-6.8323351439423501</v>
      </c>
      <c r="O58">
        <v>1.0783371029290994E-3</v>
      </c>
      <c r="P58" s="1">
        <f t="shared" si="2"/>
        <v>132.66405299783821</v>
      </c>
      <c r="Q58" s="1">
        <f t="shared" si="0"/>
        <v>139.94492559443722</v>
      </c>
      <c r="R58" s="1">
        <f t="shared" si="3"/>
        <v>2.3458716729451226</v>
      </c>
      <c r="S58" s="1">
        <f t="shared" si="4"/>
        <v>0.40041837067701286</v>
      </c>
      <c r="T58" s="1">
        <f t="shared" si="1"/>
        <v>-2.9672454515278224</v>
      </c>
    </row>
    <row r="59" spans="1:20" x14ac:dyDescent="0.25">
      <c r="A59">
        <v>57.560137515342127</v>
      </c>
      <c r="B59">
        <v>5.4</v>
      </c>
      <c r="C59">
        <v>1.0238675296714437</v>
      </c>
      <c r="D59">
        <v>343.20000000000005</v>
      </c>
      <c r="E59">
        <v>0.3405288755445961</v>
      </c>
      <c r="F59">
        <v>0.16009948424187623</v>
      </c>
      <c r="G59">
        <v>538.170008787803</v>
      </c>
      <c r="H59">
        <v>0.76031999999999944</v>
      </c>
      <c r="I59">
        <v>2.5780915336856072E-3</v>
      </c>
      <c r="J59">
        <v>1.7026443777229807E-2</v>
      </c>
      <c r="K59">
        <v>0.22994201802897254</v>
      </c>
      <c r="L59">
        <v>34.153292870207771</v>
      </c>
      <c r="M59">
        <v>1.8811120613118957</v>
      </c>
      <c r="N59">
        <v>-7.0002751439423498</v>
      </c>
      <c r="O59">
        <v>9.1163110126903275E-4</v>
      </c>
      <c r="P59" s="1">
        <f t="shared" si="2"/>
        <v>132.66496462893949</v>
      </c>
      <c r="Q59" s="1">
        <f t="shared" si="0"/>
        <v>142.2909219278786</v>
      </c>
      <c r="R59" s="1">
        <f t="shared" si="3"/>
        <v>2.3459963334413771</v>
      </c>
      <c r="S59" s="1">
        <f t="shared" si="4"/>
        <v>0.40095486406156916</v>
      </c>
      <c r="T59" s="1">
        <f t="shared" si="1"/>
        <v>-3.0401808668186545</v>
      </c>
    </row>
    <row r="60" spans="1:20" x14ac:dyDescent="0.25">
      <c r="A60">
        <v>58.576086838177503</v>
      </c>
      <c r="B60">
        <v>5.4</v>
      </c>
      <c r="C60">
        <v>1.0240163393983914</v>
      </c>
      <c r="D60">
        <v>348.6</v>
      </c>
      <c r="E60">
        <v>0.30772408677664803</v>
      </c>
      <c r="F60">
        <v>0.14467729002956553</v>
      </c>
      <c r="G60">
        <v>538.34472403858376</v>
      </c>
      <c r="H60">
        <v>0.76031999999999944</v>
      </c>
      <c r="I60">
        <v>2.3297470214100721E-3</v>
      </c>
      <c r="J60">
        <v>1.5386204338832402E-2</v>
      </c>
      <c r="K60">
        <v>0.24200265865288453</v>
      </c>
      <c r="L60">
        <v>32.228832717281307</v>
      </c>
      <c r="M60">
        <v>1.8813876348803245</v>
      </c>
      <c r="N60">
        <v>-7.1682151439423496</v>
      </c>
      <c r="O60">
        <v>7.7069708771361121E-4</v>
      </c>
      <c r="P60" s="1">
        <f t="shared" si="2"/>
        <v>132.6657353260272</v>
      </c>
      <c r="Q60" s="1">
        <f t="shared" si="0"/>
        <v>144.63706573508497</v>
      </c>
      <c r="R60" s="1">
        <f t="shared" si="3"/>
        <v>2.3461438072063743</v>
      </c>
      <c r="S60" s="1">
        <f t="shared" si="4"/>
        <v>0.40147462810892798</v>
      </c>
      <c r="T60" s="1">
        <f t="shared" si="1"/>
        <v>-3.1131162821094867</v>
      </c>
    </row>
    <row r="61" spans="1:20" x14ac:dyDescent="0.25">
      <c r="A61">
        <v>59.592170618684619</v>
      </c>
      <c r="B61">
        <v>5.4</v>
      </c>
      <c r="C61">
        <v>1.0241507970701273</v>
      </c>
      <c r="D61">
        <v>354</v>
      </c>
      <c r="E61">
        <v>0.27807167154048723</v>
      </c>
      <c r="F61">
        <v>0.13073691365141446</v>
      </c>
      <c r="G61">
        <v>538.5026058510955</v>
      </c>
      <c r="H61">
        <v>0.76031999999999944</v>
      </c>
      <c r="I61">
        <v>2.1052643100066748E-3</v>
      </c>
      <c r="J61">
        <v>1.3903583577024363E-2</v>
      </c>
      <c r="K61">
        <v>0.25477188979884346</v>
      </c>
      <c r="L61">
        <v>30.389881854438226</v>
      </c>
      <c r="M61">
        <v>1.8816366305687346</v>
      </c>
      <c r="N61">
        <v>-7.3361551439423494</v>
      </c>
      <c r="O61">
        <v>6.5155083035605364E-4</v>
      </c>
      <c r="P61" s="1">
        <f t="shared" si="2"/>
        <v>132.66638687685756</v>
      </c>
      <c r="Q61" s="1">
        <f t="shared" si="0"/>
        <v>146.98338400792719</v>
      </c>
      <c r="R61" s="1">
        <f t="shared" si="3"/>
        <v>2.3463182728422112</v>
      </c>
      <c r="S61" s="1">
        <f t="shared" si="4"/>
        <v>0.40197828569006483</v>
      </c>
      <c r="T61" s="1">
        <f t="shared" si="1"/>
        <v>-3.1860516974003183</v>
      </c>
    </row>
    <row r="62" spans="1:20" x14ac:dyDescent="0.25">
      <c r="A62">
        <v>60.608375887000648</v>
      </c>
      <c r="B62">
        <v>5.4</v>
      </c>
      <c r="C62">
        <v>1.0242722848790276</v>
      </c>
      <c r="D62">
        <v>359.40000000000003</v>
      </c>
      <c r="E62">
        <v>0.25127014963749167</v>
      </c>
      <c r="F62">
        <v>0.11813667258280175</v>
      </c>
      <c r="G62">
        <v>538.64527225157553</v>
      </c>
      <c r="H62">
        <v>0.76031999999999944</v>
      </c>
      <c r="I62">
        <v>1.9023618773398032E-3</v>
      </c>
      <c r="J62">
        <v>1.2563507481874583E-2</v>
      </c>
      <c r="K62">
        <v>0.2682423701830553</v>
      </c>
      <c r="L62">
        <v>28.639707887776339</v>
      </c>
      <c r="M62">
        <v>1.8818616079926449</v>
      </c>
      <c r="N62">
        <v>-7.5040951439423491</v>
      </c>
      <c r="O62">
        <v>5.5082404138448297E-4</v>
      </c>
      <c r="P62" s="1">
        <f t="shared" si="2"/>
        <v>132.66693770089896</v>
      </c>
      <c r="Q62" s="1">
        <f t="shared" si="0"/>
        <v>149.32990868383283</v>
      </c>
      <c r="R62" s="1">
        <f t="shared" si="3"/>
        <v>2.3465246759056413</v>
      </c>
      <c r="S62" s="1">
        <f t="shared" si="4"/>
        <v>0.40246641669144329</v>
      </c>
      <c r="T62" s="1">
        <f t="shared" si="1"/>
        <v>-3.2589871126911505</v>
      </c>
    </row>
    <row r="63" spans="1:20" x14ac:dyDescent="0.25">
      <c r="A63">
        <v>61.624690922709568</v>
      </c>
      <c r="B63">
        <v>5.4</v>
      </c>
      <c r="C63">
        <v>1.0243820522719465</v>
      </c>
      <c r="D63">
        <v>364.8</v>
      </c>
      <c r="E63">
        <v>0.22704660686481301</v>
      </c>
      <c r="F63">
        <v>0.10674830306839586</v>
      </c>
      <c r="G63">
        <v>538.77418644780096</v>
      </c>
      <c r="H63">
        <v>0.76031999999999944</v>
      </c>
      <c r="I63">
        <v>1.7189742845152311E-3</v>
      </c>
      <c r="J63">
        <v>1.1352330343240652E-2</v>
      </c>
      <c r="K63">
        <v>0.2823983198699101</v>
      </c>
      <c r="L63">
        <v>26.980401648913922</v>
      </c>
      <c r="M63">
        <v>1.8820648809424458</v>
      </c>
      <c r="N63">
        <v>-7.6720351439423498</v>
      </c>
      <c r="O63">
        <v>4.6566915493198195E-4</v>
      </c>
      <c r="P63" s="1">
        <f t="shared" si="2"/>
        <v>132.66740337005388</v>
      </c>
      <c r="Q63" s="1">
        <f t="shared" si="0"/>
        <v>151.67667755363777</v>
      </c>
      <c r="R63" s="1">
        <f t="shared" si="3"/>
        <v>2.3467688698049471</v>
      </c>
      <c r="S63" s="1">
        <f t="shared" si="4"/>
        <v>0.40293955795044578</v>
      </c>
      <c r="T63" s="1">
        <f t="shared" si="1"/>
        <v>-3.3319225279819826</v>
      </c>
    </row>
    <row r="64" spans="1:20" x14ac:dyDescent="0.25">
      <c r="A64">
        <v>62.641105134777796</v>
      </c>
      <c r="B64">
        <v>5.4</v>
      </c>
      <c r="C64">
        <v>1.0244812286312497</v>
      </c>
      <c r="D64">
        <v>370.20000000000005</v>
      </c>
      <c r="E64">
        <v>0.20515403749595526</v>
      </c>
      <c r="F64">
        <v>9.6455712877355812E-2</v>
      </c>
      <c r="G64">
        <v>538.8906715127373</v>
      </c>
      <c r="H64">
        <v>0.76031999999999944</v>
      </c>
      <c r="I64">
        <v>1.5532320914227991E-3</v>
      </c>
      <c r="J64">
        <v>1.0257701874797763E-2</v>
      </c>
      <c r="K64">
        <v>0.29721490480028606</v>
      </c>
      <c r="L64">
        <v>25.412956169662699</v>
      </c>
      <c r="M64">
        <v>1.8822485408670873</v>
      </c>
      <c r="N64">
        <v>-7.8399751439423495</v>
      </c>
      <c r="O64">
        <v>3.9367882583705782E-4</v>
      </c>
      <c r="P64" s="1">
        <f t="shared" si="2"/>
        <v>132.66779704887972</v>
      </c>
      <c r="Q64" s="1">
        <f t="shared" si="0"/>
        <v>154.02373533803052</v>
      </c>
      <c r="R64" s="1">
        <f t="shared" si="3"/>
        <v>2.3470577843927458</v>
      </c>
      <c r="S64" s="1">
        <f t="shared" si="4"/>
        <v>0.40339820283141931</v>
      </c>
      <c r="T64" s="1">
        <f t="shared" si="1"/>
        <v>-3.4048579432728152</v>
      </c>
    </row>
    <row r="65" spans="1:20" x14ac:dyDescent="0.25">
      <c r="A65">
        <v>63.657608952971749</v>
      </c>
      <c r="B65">
        <v>5.4</v>
      </c>
      <c r="C65">
        <v>1.0245708347569746</v>
      </c>
      <c r="D65">
        <v>375.6</v>
      </c>
      <c r="E65">
        <v>0.18536892484967449</v>
      </c>
      <c r="F65">
        <v>8.7153845589512766E-2</v>
      </c>
      <c r="G65">
        <v>538.99592369951472</v>
      </c>
      <c r="H65">
        <v>0.76031999999999944</v>
      </c>
      <c r="I65">
        <v>1.4034435682691263E-3</v>
      </c>
      <c r="J65">
        <v>9.2684462424837254E-3</v>
      </c>
      <c r="K65">
        <v>0.31265781180122887</v>
      </c>
      <c r="L65">
        <v>23.937364450360853</v>
      </c>
      <c r="M65">
        <v>1.882414478136951</v>
      </c>
      <c r="N65">
        <v>-8.0079151439423484</v>
      </c>
      <c r="O65">
        <v>3.3281787352886248E-4</v>
      </c>
      <c r="P65" s="1">
        <f t="shared" si="2"/>
        <v>132.66812986675325</v>
      </c>
      <c r="Q65" s="1">
        <f t="shared" si="0"/>
        <v>156.37113496145952</v>
      </c>
      <c r="R65" s="1">
        <f t="shared" si="3"/>
        <v>2.3473996234289984</v>
      </c>
      <c r="S65" s="1">
        <f t="shared" si="4"/>
        <v>0.40384280039560416</v>
      </c>
      <c r="T65" s="1">
        <f t="shared" si="1"/>
        <v>-3.4777933585636469</v>
      </c>
    </row>
    <row r="66" spans="1:20" x14ac:dyDescent="0.25">
      <c r="A66">
        <v>64.674193729669852</v>
      </c>
      <c r="B66">
        <v>5.4</v>
      </c>
      <c r="C66">
        <v>1.0246517932611134</v>
      </c>
      <c r="D66">
        <v>381</v>
      </c>
      <c r="E66">
        <v>0.16748904034225498</v>
      </c>
      <c r="F66">
        <v>7.8747647269670443E-2</v>
      </c>
      <c r="G66">
        <v>539.09102451084345</v>
      </c>
      <c r="H66">
        <v>0.76031999999999944</v>
      </c>
      <c r="I66">
        <v>1.2680780558723104E-3</v>
      </c>
      <c r="J66">
        <v>8.3744520171127497E-3</v>
      </c>
      <c r="K66">
        <v>0.32868305877569631</v>
      </c>
      <c r="L66">
        <v>22.552729946873477</v>
      </c>
      <c r="M66">
        <v>1.8825644012927834</v>
      </c>
      <c r="N66">
        <v>-8.1758551439423499</v>
      </c>
      <c r="O66">
        <v>2.8136574707759402E-4</v>
      </c>
      <c r="P66" s="1">
        <f t="shared" si="2"/>
        <v>132.66841123250032</v>
      </c>
      <c r="Q66" s="1">
        <f t="shared" si="0"/>
        <v>158.71893906342632</v>
      </c>
      <c r="R66" s="1">
        <f t="shared" si="3"/>
        <v>2.3478041019668012</v>
      </c>
      <c r="S66" s="1">
        <f t="shared" si="4"/>
        <v>0.40427375409609567</v>
      </c>
      <c r="T66" s="1">
        <f t="shared" si="1"/>
        <v>-3.550728773854479</v>
      </c>
    </row>
    <row r="67" spans="1:20" x14ac:dyDescent="0.25">
      <c r="A67">
        <v>65.690851651082042</v>
      </c>
      <c r="B67">
        <v>5.4</v>
      </c>
      <c r="C67">
        <v>1.0247249379752161</v>
      </c>
      <c r="D67">
        <v>386.40000000000003</v>
      </c>
      <c r="E67">
        <v>0.15133144269567111</v>
      </c>
      <c r="F67">
        <v>7.1151126974327975E-2</v>
      </c>
      <c r="G67">
        <v>539.17695163575991</v>
      </c>
      <c r="H67">
        <v>0.76031999999999944</v>
      </c>
      <c r="I67">
        <v>1.1457508369457005E-3</v>
      </c>
      <c r="J67">
        <v>7.5665721347835564E-3</v>
      </c>
      <c r="K67">
        <v>0.3452370783350957</v>
      </c>
      <c r="L67">
        <v>21.257384110285127</v>
      </c>
      <c r="M67">
        <v>1.8826998544670177</v>
      </c>
      <c r="N67">
        <v>-8.3437951439423497</v>
      </c>
      <c r="O67">
        <v>2.3786788488589742E-4</v>
      </c>
      <c r="P67" s="1">
        <f t="shared" si="2"/>
        <v>132.66864910038521</v>
      </c>
      <c r="Q67" s="1">
        <f t="shared" si="0"/>
        <v>161.06722178973862</v>
      </c>
      <c r="R67" s="1">
        <f t="shared" si="3"/>
        <v>2.3482827263123056</v>
      </c>
      <c r="S67" s="1">
        <f t="shared" si="4"/>
        <v>0.40469141993066049</v>
      </c>
      <c r="T67" s="1">
        <f t="shared" si="1"/>
        <v>-3.6236641891453112</v>
      </c>
    </row>
    <row r="68" spans="1:20" x14ac:dyDescent="0.25">
      <c r="A68">
        <v>66.707575656982428</v>
      </c>
      <c r="B68">
        <v>5.4</v>
      </c>
      <c r="C68">
        <v>1.0247910224634198</v>
      </c>
      <c r="D68">
        <v>391.8</v>
      </c>
      <c r="E68">
        <v>0.1367306602400413</v>
      </c>
      <c r="F68">
        <v>6.4286503119069874E-2</v>
      </c>
      <c r="G68">
        <v>539.25458885703461</v>
      </c>
      <c r="H68">
        <v>0.76031999999999944</v>
      </c>
      <c r="I68">
        <v>1.0352093900011254E-3</v>
      </c>
      <c r="J68">
        <v>6.8365330120020648E-3</v>
      </c>
      <c r="K68">
        <v>0.36225710280968421</v>
      </c>
      <c r="L68">
        <v>20.049005969871406</v>
      </c>
      <c r="M68">
        <v>1.8828222331488627</v>
      </c>
      <c r="N68">
        <v>-8.5117351439423494</v>
      </c>
      <c r="O68">
        <v>2.0109459395029644E-4</v>
      </c>
      <c r="P68" s="1">
        <f t="shared" si="2"/>
        <v>132.66885019497917</v>
      </c>
      <c r="Q68" s="1">
        <f t="shared" ref="Q68:Q131" si="5">LOG(SUM(O$3:O$250)/(SUM(O$3:O$250)-P68))/0.0311</f>
        <v>163.41607091690096</v>
      </c>
      <c r="R68" s="1">
        <f t="shared" si="3"/>
        <v>2.3488491271623388</v>
      </c>
      <c r="S68" s="1">
        <f t="shared" si="4"/>
        <v>0.40509610396700413</v>
      </c>
      <c r="T68" s="1">
        <f t="shared" ref="T68:T131" si="6">LOG(O68)</f>
        <v>-3.6965996044361433</v>
      </c>
    </row>
    <row r="69" spans="1:20" x14ac:dyDescent="0.25">
      <c r="A69">
        <v>67.724359368144192</v>
      </c>
      <c r="B69">
        <v>5.4</v>
      </c>
      <c r="C69">
        <v>1.0248507277247225</v>
      </c>
      <c r="D69">
        <v>397.20000000000005</v>
      </c>
      <c r="E69">
        <v>0.12353704048309795</v>
      </c>
      <c r="F69">
        <v>5.808342830635007E-2</v>
      </c>
      <c r="G69">
        <v>539.32473502370465</v>
      </c>
      <c r="H69">
        <v>0.76031999999999944</v>
      </c>
      <c r="I69">
        <v>9.3532090670450988E-4</v>
      </c>
      <c r="J69">
        <v>6.1768520241548977E-3</v>
      </c>
      <c r="K69">
        <v>0.37967186462800523</v>
      </c>
      <c r="L69">
        <v>18.92473955699359</v>
      </c>
      <c r="M69">
        <v>1.8829327984477116</v>
      </c>
      <c r="N69">
        <v>-8.6796751439423492</v>
      </c>
      <c r="O69">
        <v>1.7000628620140434E-4</v>
      </c>
      <c r="P69" s="1">
        <f t="shared" ref="P69:P132" si="7">O69+P68</f>
        <v>132.66902020126537</v>
      </c>
      <c r="Q69" s="1">
        <f t="shared" si="5"/>
        <v>165.76559037354656</v>
      </c>
      <c r="R69" s="1">
        <f t="shared" ref="R69:R132" si="8">Q69-Q68</f>
        <v>2.349519456645595</v>
      </c>
      <c r="S69" s="1">
        <f t="shared" ref="S69:S103" si="9">(A68+0.5*(A69-A68))/Q69</f>
        <v>0.40548805913877928</v>
      </c>
      <c r="T69" s="1">
        <f t="shared" si="6"/>
        <v>-3.7695350197269755</v>
      </c>
    </row>
    <row r="70" spans="1:20" x14ac:dyDescent="0.25">
      <c r="A70">
        <v>68.741197020741851</v>
      </c>
      <c r="B70">
        <v>5.4</v>
      </c>
      <c r="C70">
        <v>1.0249046691606858</v>
      </c>
      <c r="D70">
        <v>402.6</v>
      </c>
      <c r="E70">
        <v>0.1116152523097803</v>
      </c>
      <c r="F70">
        <v>5.2478285765395476E-2</v>
      </c>
      <c r="G70">
        <v>539.38811217498255</v>
      </c>
      <c r="H70">
        <v>0.76031999999999944</v>
      </c>
      <c r="I70">
        <v>8.4506096240572458E-4</v>
      </c>
      <c r="J70">
        <v>5.5807626154890152E-3</v>
      </c>
      <c r="K70">
        <v>0.39740260923377468</v>
      </c>
      <c r="L70">
        <v>17.88130583816703</v>
      </c>
      <c r="M70">
        <v>1.8830326899956635</v>
      </c>
      <c r="N70">
        <v>-8.8476151439423489</v>
      </c>
      <c r="O70">
        <v>1.4372408914750534E-4</v>
      </c>
      <c r="P70" s="1">
        <f t="shared" si="7"/>
        <v>132.66916392535452</v>
      </c>
      <c r="Q70" s="1">
        <f t="shared" si="5"/>
        <v>168.11590323561549</v>
      </c>
      <c r="R70" s="1">
        <f t="shared" si="8"/>
        <v>2.3503128620689324</v>
      </c>
      <c r="S70" s="1">
        <f t="shared" si="9"/>
        <v>0.40586748119132049</v>
      </c>
      <c r="T70" s="1">
        <f t="shared" si="6"/>
        <v>-3.8424704350178076</v>
      </c>
    </row>
    <row r="71" spans="1:20" x14ac:dyDescent="0.25">
      <c r="A71">
        <v>69.758083407056617</v>
      </c>
      <c r="B71">
        <v>5.4</v>
      </c>
      <c r="C71">
        <v>1.0249534028777878</v>
      </c>
      <c r="D71">
        <v>408</v>
      </c>
      <c r="E71">
        <v>0.1008429273117432</v>
      </c>
      <c r="F71">
        <v>4.741355108433068E-2</v>
      </c>
      <c r="G71">
        <v>539.44537289419497</v>
      </c>
      <c r="H71">
        <v>0.76031999999999944</v>
      </c>
      <c r="I71">
        <v>7.6350323807295828E-4</v>
      </c>
      <c r="J71">
        <v>5.0421463655871603E-3</v>
      </c>
      <c r="K71">
        <v>0.41536439919480828</v>
      </c>
      <c r="L71">
        <v>16.915106688421552</v>
      </c>
      <c r="M71">
        <v>1.8831229376199377</v>
      </c>
      <c r="N71">
        <v>-9.0155551439423505</v>
      </c>
      <c r="O71">
        <v>1.2150499997869744E-4</v>
      </c>
      <c r="P71" s="1">
        <f t="shared" si="7"/>
        <v>132.66928543035451</v>
      </c>
      <c r="Q71" s="1">
        <f t="shared" si="5"/>
        <v>170.46715528307848</v>
      </c>
      <c r="R71" s="1">
        <f t="shared" si="8"/>
        <v>2.3512520474629923</v>
      </c>
      <c r="S71" s="1">
        <f t="shared" si="9"/>
        <v>0.40623450364325597</v>
      </c>
      <c r="T71" s="1">
        <f t="shared" si="6"/>
        <v>-3.9154058503086397</v>
      </c>
    </row>
    <row r="72" spans="1:20" x14ac:dyDescent="0.25">
      <c r="A72">
        <v>70.775013821880918</v>
      </c>
      <c r="B72">
        <v>5.4</v>
      </c>
      <c r="C72">
        <v>1.0249974313872807</v>
      </c>
      <c r="D72">
        <v>413.40000000000003</v>
      </c>
      <c r="E72">
        <v>9.1109427823471548E-2</v>
      </c>
      <c r="F72">
        <v>4.2837213416065778E-2</v>
      </c>
      <c r="G72">
        <v>539.49710696441753</v>
      </c>
      <c r="H72">
        <v>0.76031999999999944</v>
      </c>
      <c r="I72">
        <v>6.8981019993664722E-4</v>
      </c>
      <c r="J72">
        <v>4.5554713911735772E-3</v>
      </c>
      <c r="K72">
        <v>0.43346766950074</v>
      </c>
      <c r="L72">
        <v>16.022319238202304</v>
      </c>
      <c r="M72">
        <v>1.8832044718968544</v>
      </c>
      <c r="N72">
        <v>-9.1834951439423502</v>
      </c>
      <c r="O72">
        <v>1.0272088073330143E-4</v>
      </c>
      <c r="P72" s="1">
        <f t="shared" si="7"/>
        <v>132.66938815123524</v>
      </c>
      <c r="Q72" s="1">
        <f t="shared" si="5"/>
        <v>172.81951923248582</v>
      </c>
      <c r="R72" s="1">
        <f t="shared" si="8"/>
        <v>2.3523639494073336</v>
      </c>
      <c r="S72" s="1">
        <f t="shared" si="9"/>
        <v>0.40658919158282436</v>
      </c>
      <c r="T72" s="1">
        <f t="shared" si="6"/>
        <v>-3.9883412655994719</v>
      </c>
    </row>
    <row r="73" spans="1:20" x14ac:dyDescent="0.25">
      <c r="A73">
        <v>71.791984014077499</v>
      </c>
      <c r="B73">
        <v>5.4</v>
      </c>
      <c r="C73">
        <v>1.0250372087595918</v>
      </c>
      <c r="D73">
        <v>418.8</v>
      </c>
      <c r="E73">
        <v>8.2314730256560623E-2</v>
      </c>
      <c r="F73">
        <v>3.8702250812329704E-2</v>
      </c>
      <c r="G73">
        <v>539.5438473910508</v>
      </c>
      <c r="H73">
        <v>0.76031999999999944</v>
      </c>
      <c r="I73">
        <v>6.2322465076215317E-4</v>
      </c>
      <c r="J73">
        <v>4.115736512828031E-3</v>
      </c>
      <c r="K73">
        <v>0.4516199769845029</v>
      </c>
      <c r="L73">
        <v>15.198979633684701</v>
      </c>
      <c r="M73">
        <v>1.8832781336973721</v>
      </c>
      <c r="N73">
        <v>-9.35143514394235</v>
      </c>
      <c r="O73">
        <v>8.6840700715814666E-5</v>
      </c>
      <c r="P73" s="1">
        <f t="shared" si="7"/>
        <v>132.66947499193594</v>
      </c>
      <c r="Q73" s="1">
        <f t="shared" si="5"/>
        <v>175.17319977385165</v>
      </c>
      <c r="R73" s="1">
        <f t="shared" si="8"/>
        <v>2.3536805413658328</v>
      </c>
      <c r="S73" s="1">
        <f t="shared" si="9"/>
        <v>0.40693153410456684</v>
      </c>
      <c r="T73" s="1">
        <f t="shared" si="6"/>
        <v>-4.0612766808903036</v>
      </c>
    </row>
    <row r="74" spans="1:20" x14ac:dyDescent="0.25">
      <c r="A74">
        <v>72.808990142799502</v>
      </c>
      <c r="B74">
        <v>5.4</v>
      </c>
      <c r="C74">
        <v>1.0250731452850199</v>
      </c>
      <c r="D74">
        <v>424.20000000000005</v>
      </c>
      <c r="E74">
        <v>7.4368413273621703E-2</v>
      </c>
      <c r="F74">
        <v>3.4966154783605922E-2</v>
      </c>
      <c r="G74">
        <v>539.58607585067477</v>
      </c>
      <c r="H74">
        <v>0.76031999999999944</v>
      </c>
      <c r="I74">
        <v>5.6306207381007971E-4</v>
      </c>
      <c r="J74">
        <v>3.7184206636810854E-3</v>
      </c>
      <c r="K74">
        <v>0.46972787305840841</v>
      </c>
      <c r="L74">
        <v>14.441055842619042</v>
      </c>
      <c r="M74">
        <v>1.8833446828185225</v>
      </c>
      <c r="N74">
        <v>-9.5193751439423497</v>
      </c>
      <c r="O74">
        <v>7.3415524156120757E-5</v>
      </c>
      <c r="P74" s="1">
        <f t="shared" si="7"/>
        <v>132.6695484074601</v>
      </c>
      <c r="Q74" s="1">
        <f t="shared" si="5"/>
        <v>177.52843957575479</v>
      </c>
      <c r="R74" s="1">
        <f t="shared" si="8"/>
        <v>2.3552398019031386</v>
      </c>
      <c r="S74" s="1">
        <f t="shared" si="9"/>
        <v>0.40726143513240587</v>
      </c>
      <c r="T74" s="1">
        <f t="shared" si="6"/>
        <v>-4.1342120961811357</v>
      </c>
    </row>
    <row r="75" spans="1:20" x14ac:dyDescent="0.25">
      <c r="A75">
        <v>73.826028737924091</v>
      </c>
      <c r="B75">
        <v>5.4</v>
      </c>
      <c r="C75">
        <v>1.0251056116876369</v>
      </c>
      <c r="D75">
        <v>429.6</v>
      </c>
      <c r="E75">
        <v>6.7188741229387686E-2</v>
      </c>
      <c r="F75">
        <v>3.1590499596642695E-2</v>
      </c>
      <c r="G75">
        <v>539.62422762012943</v>
      </c>
      <c r="H75">
        <v>0.76031999999999944</v>
      </c>
      <c r="I75">
        <v>5.0870369720841708E-4</v>
      </c>
      <c r="J75">
        <v>3.3594370614693845E-3</v>
      </c>
      <c r="K75">
        <v>0.48769881998709064</v>
      </c>
      <c r="L75">
        <v>13.744509610142732</v>
      </c>
      <c r="M75">
        <v>1.883404805786276</v>
      </c>
      <c r="N75">
        <v>-9.6873151439423495</v>
      </c>
      <c r="O75">
        <v>6.2065818708167121E-5</v>
      </c>
      <c r="P75" s="1">
        <f t="shared" si="7"/>
        <v>132.66961047327879</v>
      </c>
      <c r="Q75" s="1">
        <f t="shared" si="5"/>
        <v>179.88552644811179</v>
      </c>
      <c r="R75" s="1">
        <f t="shared" si="8"/>
        <v>2.3570868723570015</v>
      </c>
      <c r="S75" s="1">
        <f t="shared" si="9"/>
        <v>0.40757870234496224</v>
      </c>
      <c r="T75" s="1">
        <f t="shared" si="6"/>
        <v>-4.2071475114719679</v>
      </c>
    </row>
    <row r="76" spans="1:20" x14ac:dyDescent="0.25">
      <c r="A76">
        <v>74.843096664295985</v>
      </c>
      <c r="B76">
        <v>5.4</v>
      </c>
      <c r="C76">
        <v>1.0251349429349317</v>
      </c>
      <c r="D76">
        <v>435</v>
      </c>
      <c r="E76">
        <v>6.0701834129897339E-2</v>
      </c>
      <c r="F76">
        <v>2.8540552205915375E-2</v>
      </c>
      <c r="G76">
        <v>539.65869603481917</v>
      </c>
      <c r="H76">
        <v>0.76031999999999944</v>
      </c>
      <c r="I76">
        <v>4.5959021265564202E-4</v>
      </c>
      <c r="J76">
        <v>3.0350917064948671E-3</v>
      </c>
      <c r="K76">
        <v>0.5054430677103664</v>
      </c>
      <c r="L76">
        <v>13.105348025516026</v>
      </c>
      <c r="M76">
        <v>1.8834591229109143</v>
      </c>
      <c r="N76">
        <v>-9.8552551439423492</v>
      </c>
      <c r="O76">
        <v>5.2470725996906334E-5</v>
      </c>
      <c r="P76" s="1">
        <f t="shared" si="7"/>
        <v>132.66966294400478</v>
      </c>
      <c r="Q76" s="1">
        <f t="shared" si="5"/>
        <v>182.24480190986029</v>
      </c>
      <c r="R76" s="1">
        <f t="shared" si="8"/>
        <v>2.3592754617484957</v>
      </c>
      <c r="S76" s="1">
        <f t="shared" si="9"/>
        <v>0.40788303382104962</v>
      </c>
      <c r="T76" s="1">
        <f t="shared" si="6"/>
        <v>-4.2800829267628</v>
      </c>
    </row>
    <row r="77" spans="1:20" x14ac:dyDescent="0.25">
      <c r="A77">
        <v>75.860191089414684</v>
      </c>
      <c r="B77">
        <v>5.4</v>
      </c>
      <c r="C77">
        <v>1.0251614416817301</v>
      </c>
      <c r="D77">
        <v>440.40000000000003</v>
      </c>
      <c r="E77">
        <v>5.484091612263859E-2</v>
      </c>
      <c r="F77">
        <v>2.5784919071959452E-2</v>
      </c>
      <c r="G77">
        <v>539.68983652073848</v>
      </c>
      <c r="H77">
        <v>0.76031999999999944</v>
      </c>
      <c r="I77">
        <v>4.1521608811528947E-4</v>
      </c>
      <c r="J77">
        <v>2.7420458061319297E-3</v>
      </c>
      <c r="K77">
        <v>0.52287541113800018</v>
      </c>
      <c r="L77">
        <v>12.519665412070795</v>
      </c>
      <c r="M77">
        <v>1.8835081946642582</v>
      </c>
      <c r="N77">
        <v>-10.023195143942349</v>
      </c>
      <c r="O77">
        <v>4.4358990889781581E-5</v>
      </c>
      <c r="P77" s="1">
        <f t="shared" si="7"/>
        <v>132.66970730299568</v>
      </c>
      <c r="Q77" s="1">
        <f t="shared" si="5"/>
        <v>184.60667144439518</v>
      </c>
      <c r="R77" s="1">
        <f t="shared" si="8"/>
        <v>2.3618695345348897</v>
      </c>
      <c r="S77" s="1">
        <f t="shared" si="9"/>
        <v>0.40817400198644382</v>
      </c>
      <c r="T77" s="1">
        <f t="shared" si="6"/>
        <v>-4.3530183420536321</v>
      </c>
    </row>
    <row r="78" spans="1:20" x14ac:dyDescent="0.25">
      <c r="A78">
        <v>76.877309454234947</v>
      </c>
      <c r="B78">
        <v>5.4</v>
      </c>
      <c r="C78">
        <v>1.0251853813832983</v>
      </c>
      <c r="D78">
        <v>445.8</v>
      </c>
      <c r="E78">
        <v>4.9545635234316605E-2</v>
      </c>
      <c r="F78">
        <v>2.3295226448863674E-2</v>
      </c>
      <c r="G78">
        <v>539.71797024058242</v>
      </c>
      <c r="H78">
        <v>0.76031999999999944</v>
      </c>
      <c r="I78">
        <v>3.7512441946640389E-4</v>
      </c>
      <c r="J78">
        <v>2.4772817617158306E-3</v>
      </c>
      <c r="K78">
        <v>0.5399167565399271</v>
      </c>
      <c r="L78">
        <v>11.983676413272315</v>
      </c>
      <c r="M78">
        <v>1.8835525274449312</v>
      </c>
      <c r="N78">
        <v>-10.191135143942349</v>
      </c>
      <c r="O78">
        <v>3.7501293061501409E-5</v>
      </c>
      <c r="P78" s="1">
        <f t="shared" si="7"/>
        <v>132.66974480428874</v>
      </c>
      <c r="Q78" s="1">
        <f t="shared" si="5"/>
        <v>186.97161680998977</v>
      </c>
      <c r="R78" s="1">
        <f t="shared" si="8"/>
        <v>2.3649453655945933</v>
      </c>
      <c r="S78" s="1">
        <f t="shared" si="9"/>
        <v>0.40845103430556889</v>
      </c>
      <c r="T78" s="1">
        <f t="shared" si="6"/>
        <v>-4.4259537573444643</v>
      </c>
    </row>
    <row r="79" spans="1:20" x14ac:dyDescent="0.25">
      <c r="A79">
        <v>77.894449446781167</v>
      </c>
      <c r="B79">
        <v>5.4</v>
      </c>
      <c r="C79">
        <v>1.0252070091092469</v>
      </c>
      <c r="D79">
        <v>451.20000000000005</v>
      </c>
      <c r="E79">
        <v>4.4761447721011295E-2</v>
      </c>
      <c r="F79">
        <v>2.1045831026662506E-2</v>
      </c>
      <c r="G79">
        <v>539.7433873905743</v>
      </c>
      <c r="H79">
        <v>0.76031999999999944</v>
      </c>
      <c r="I79">
        <v>3.3890227096074904E-4</v>
      </c>
      <c r="J79">
        <v>2.238072386050565E-3</v>
      </c>
      <c r="K79">
        <v>0.55649543919464173</v>
      </c>
      <c r="L79">
        <v>11.493741233582293</v>
      </c>
      <c r="M79">
        <v>1.8835925787892955</v>
      </c>
      <c r="N79">
        <v>-10.35907514394235</v>
      </c>
      <c r="O79">
        <v>3.1703764063951599E-5</v>
      </c>
      <c r="P79" s="1">
        <f t="shared" si="7"/>
        <v>132.66977650805279</v>
      </c>
      <c r="Q79" s="1">
        <f t="shared" si="5"/>
        <v>189.34021085248853</v>
      </c>
      <c r="R79" s="1">
        <f t="shared" si="8"/>
        <v>2.3685940424987564</v>
      </c>
      <c r="S79" s="1">
        <f t="shared" si="9"/>
        <v>0.40871339005108626</v>
      </c>
      <c r="T79" s="1">
        <f t="shared" si="6"/>
        <v>-4.4988891726352964</v>
      </c>
    </row>
    <row r="80" spans="1:20" x14ac:dyDescent="0.25">
      <c r="A80">
        <v>78.911608978304955</v>
      </c>
      <c r="B80">
        <v>5.4</v>
      </c>
      <c r="C80">
        <v>1.0252265480868579</v>
      </c>
      <c r="D80">
        <v>456.6</v>
      </c>
      <c r="E80">
        <v>4.0439060991122877E-2</v>
      </c>
      <c r="F80">
        <v>1.9013558093448946E-2</v>
      </c>
      <c r="G80">
        <v>539.76635018120635</v>
      </c>
      <c r="H80">
        <v>0.76031999999999944</v>
      </c>
      <c r="I80">
        <v>3.061764588317061E-4</v>
      </c>
      <c r="J80">
        <v>2.0219530495561439E-3</v>
      </c>
      <c r="K80">
        <v>0.57254825139464405</v>
      </c>
      <c r="L80">
        <v>11.046384019624186</v>
      </c>
      <c r="M80">
        <v>1.8836287620810888</v>
      </c>
      <c r="N80">
        <v>-10.52701514394235</v>
      </c>
      <c r="O80">
        <v>2.6802506627553276E-5</v>
      </c>
      <c r="P80" s="1">
        <f t="shared" si="7"/>
        <v>132.66980331055942</v>
      </c>
      <c r="Q80" s="1">
        <f t="shared" si="5"/>
        <v>191.71313538802167</v>
      </c>
      <c r="R80" s="1">
        <f t="shared" si="8"/>
        <v>2.3729245355331443</v>
      </c>
      <c r="S80" s="1">
        <f t="shared" si="9"/>
        <v>0.40896013230318135</v>
      </c>
      <c r="T80" s="1">
        <f t="shared" si="6"/>
        <v>-4.5718245879261286</v>
      </c>
    </row>
    <row r="81" spans="1:20" x14ac:dyDescent="0.25">
      <c r="A81">
        <v>79.92878616174167</v>
      </c>
      <c r="B81">
        <v>5.4</v>
      </c>
      <c r="C81">
        <v>1.0252441999997337</v>
      </c>
      <c r="D81">
        <v>462</v>
      </c>
      <c r="E81">
        <v>3.6533929607956851E-2</v>
      </c>
      <c r="F81">
        <v>1.7177464638120105E-2</v>
      </c>
      <c r="G81">
        <v>539.78709553198894</v>
      </c>
      <c r="H81">
        <v>0.76031999999999944</v>
      </c>
      <c r="I81">
        <v>2.7660973652367325E-4</v>
      </c>
      <c r="J81">
        <v>1.8266964803978426E-3</v>
      </c>
      <c r="K81">
        <v>0.58802115852863213</v>
      </c>
      <c r="L81">
        <v>10.6383053496566</v>
      </c>
      <c r="M81">
        <v>1.8836614508087313</v>
      </c>
      <c r="N81">
        <v>-10.69495514394235</v>
      </c>
      <c r="O81">
        <v>2.265896125365305E-5</v>
      </c>
      <c r="P81" s="1">
        <f t="shared" si="7"/>
        <v>132.66982596952067</v>
      </c>
      <c r="Q81" s="1">
        <f t="shared" si="5"/>
        <v>194.09120285168231</v>
      </c>
      <c r="R81" s="1">
        <f t="shared" si="8"/>
        <v>2.378067463660642</v>
      </c>
      <c r="S81" s="1">
        <f t="shared" si="9"/>
        <v>0.40919009415750507</v>
      </c>
      <c r="T81" s="1">
        <f t="shared" si="6"/>
        <v>-4.6447600032169607</v>
      </c>
    </row>
    <row r="82" spans="1:20" x14ac:dyDescent="0.25">
      <c r="A82">
        <v>80.945979292243862</v>
      </c>
      <c r="B82">
        <v>5.4</v>
      </c>
      <c r="C82">
        <v>1.0252601470652352</v>
      </c>
      <c r="D82">
        <v>467.40000000000003</v>
      </c>
      <c r="E82">
        <v>3.3005799379119224E-2</v>
      </c>
      <c r="F82">
        <v>1.5518625049242288E-2</v>
      </c>
      <c r="G82">
        <v>539.80583750748292</v>
      </c>
      <c r="H82">
        <v>0.76031999999999944</v>
      </c>
      <c r="I82">
        <v>2.498973437881207E-4</v>
      </c>
      <c r="J82">
        <v>1.6502899689559614E-3</v>
      </c>
      <c r="K82">
        <v>0.60286969952005975</v>
      </c>
      <c r="L82">
        <v>10.266389750398783</v>
      </c>
      <c r="M82">
        <v>1.883690982411468</v>
      </c>
      <c r="N82">
        <v>-10.86289514394235</v>
      </c>
      <c r="O82">
        <v>1.9155989110613254E-5</v>
      </c>
      <c r="P82" s="1">
        <f t="shared" si="7"/>
        <v>132.6698451255098</v>
      </c>
      <c r="Q82" s="1">
        <f t="shared" si="5"/>
        <v>196.47538263349702</v>
      </c>
      <c r="R82" s="1">
        <f t="shared" si="8"/>
        <v>2.3841797818147086</v>
      </c>
      <c r="S82" s="1">
        <f t="shared" si="9"/>
        <v>0.40940183777140038</v>
      </c>
      <c r="T82" s="1">
        <f t="shared" si="6"/>
        <v>-4.7176954185077928</v>
      </c>
    </row>
    <row r="83" spans="1:20" x14ac:dyDescent="0.25">
      <c r="A83">
        <v>81.963186829592729</v>
      </c>
      <c r="B83">
        <v>5.4</v>
      </c>
      <c r="C83">
        <v>1.0252745539119132</v>
      </c>
      <c r="D83">
        <v>472.8</v>
      </c>
      <c r="E83">
        <v>2.9818294997609164E-2</v>
      </c>
      <c r="F83">
        <v>1.4019937280139488E-2</v>
      </c>
      <c r="G83">
        <v>539.8227695193093</v>
      </c>
      <c r="H83">
        <v>0.76031999999999944</v>
      </c>
      <c r="I83">
        <v>2.2576388534846192E-4</v>
      </c>
      <c r="J83">
        <v>1.4909147498804584E-3</v>
      </c>
      <c r="K83">
        <v>0.61705908483908034</v>
      </c>
      <c r="L83">
        <v>9.9277090906414838</v>
      </c>
      <c r="M83">
        <v>1.8837176617571605</v>
      </c>
      <c r="N83">
        <v>-11.030835143942349</v>
      </c>
      <c r="O83">
        <v>1.6194560496314628E-5</v>
      </c>
      <c r="P83" s="1">
        <f t="shared" si="7"/>
        <v>132.66986132007028</v>
      </c>
      <c r="Q83" s="1">
        <f t="shared" si="5"/>
        <v>198.86683325016304</v>
      </c>
      <c r="R83" s="1">
        <f t="shared" si="8"/>
        <v>2.3914506166660203</v>
      </c>
      <c r="S83" s="1">
        <f t="shared" si="9"/>
        <v>0.40959360457283045</v>
      </c>
      <c r="T83" s="1">
        <f t="shared" si="6"/>
        <v>-4.790630833798625</v>
      </c>
    </row>
    <row r="84" spans="1:20" x14ac:dyDescent="0.25">
      <c r="A84">
        <v>82.980407382305884</v>
      </c>
      <c r="B84">
        <v>5.4</v>
      </c>
      <c r="C84">
        <v>1.0252875692761283</v>
      </c>
      <c r="D84">
        <v>478.20000000000005</v>
      </c>
      <c r="E84">
        <v>2.6938547117271359E-2</v>
      </c>
      <c r="F84">
        <v>1.2665947546377064E-2</v>
      </c>
      <c r="G84">
        <v>539.83806631650668</v>
      </c>
      <c r="H84">
        <v>0.76031999999999944</v>
      </c>
      <c r="I84">
        <v>2.0396050799318944E-4</v>
      </c>
      <c r="J84">
        <v>1.3469273558635681E-3</v>
      </c>
      <c r="K84">
        <v>0.63056401941343365</v>
      </c>
      <c r="L84">
        <v>9.6195226194543579</v>
      </c>
      <c r="M84">
        <v>1.8837417642836207</v>
      </c>
      <c r="N84">
        <v>-11.198775143942349</v>
      </c>
      <c r="O84">
        <v>1.369095524926399E-5</v>
      </c>
      <c r="P84" s="1">
        <f t="shared" si="7"/>
        <v>132.66987501102554</v>
      </c>
      <c r="Q84" s="1">
        <f t="shared" si="5"/>
        <v>201.266941894247</v>
      </c>
      <c r="R84" s="1">
        <f t="shared" si="8"/>
        <v>2.4001086440839572</v>
      </c>
      <c r="S84" s="1">
        <f t="shared" si="9"/>
        <v>0.40976325436137945</v>
      </c>
      <c r="T84" s="1">
        <f t="shared" si="6"/>
        <v>-4.8635662490894571</v>
      </c>
    </row>
    <row r="85" spans="1:20" x14ac:dyDescent="0.25">
      <c r="A85">
        <v>83.997639693278074</v>
      </c>
      <c r="B85">
        <v>5.4</v>
      </c>
      <c r="C85">
        <v>1.0252993275352351</v>
      </c>
      <c r="D85">
        <v>483.6</v>
      </c>
      <c r="E85">
        <v>2.4336855126624857E-2</v>
      </c>
      <c r="F85">
        <v>1.1442691800646785E-2</v>
      </c>
      <c r="G85">
        <v>539.85188578448344</v>
      </c>
      <c r="H85">
        <v>0.76031999999999944</v>
      </c>
      <c r="I85">
        <v>1.842623478365022E-4</v>
      </c>
      <c r="J85">
        <v>1.216842756331243E-3</v>
      </c>
      <c r="K85">
        <v>0.64336828828025372</v>
      </c>
      <c r="L85">
        <v>9.3392743299380232</v>
      </c>
      <c r="M85">
        <v>1.883763538837389</v>
      </c>
      <c r="N85">
        <v>-11.366715143942349</v>
      </c>
      <c r="O85">
        <v>1.1574395963385681E-5</v>
      </c>
      <c r="P85" s="1">
        <f t="shared" si="7"/>
        <v>132.66988658542149</v>
      </c>
      <c r="Q85" s="1">
        <f t="shared" si="5"/>
        <v>203.67737330063289</v>
      </c>
      <c r="R85" s="1">
        <f t="shared" si="8"/>
        <v>2.4104314063858965</v>
      </c>
      <c r="S85" s="1">
        <f t="shared" si="9"/>
        <v>0.40990819051147176</v>
      </c>
      <c r="T85" s="1">
        <f t="shared" si="6"/>
        <v>-4.9365016643802893</v>
      </c>
    </row>
    <row r="86" spans="1:20" x14ac:dyDescent="0.25">
      <c r="A86">
        <v>85.014882626808102</v>
      </c>
      <c r="B86">
        <v>5.4</v>
      </c>
      <c r="C86">
        <v>1.0253099500930241</v>
      </c>
      <c r="D86">
        <v>489</v>
      </c>
      <c r="E86">
        <v>2.1986382232522965E-2</v>
      </c>
      <c r="F86">
        <v>1.0337552393159572E-2</v>
      </c>
      <c r="G86">
        <v>539.86437057090575</v>
      </c>
      <c r="H86">
        <v>0.76031999999999944</v>
      </c>
      <c r="I86">
        <v>1.6646622211207034E-4</v>
      </c>
      <c r="J86">
        <v>1.0993191116261483E-3</v>
      </c>
      <c r="K86">
        <v>0.65546414944953224</v>
      </c>
      <c r="L86">
        <v>9.0845882423074826</v>
      </c>
      <c r="M86">
        <v>1.8837832102407923</v>
      </c>
      <c r="N86">
        <v>-11.534655143942349</v>
      </c>
      <c r="O86">
        <v>9.78504709701981E-6</v>
      </c>
      <c r="P86" s="1">
        <f t="shared" si="7"/>
        <v>132.66989637046859</v>
      </c>
      <c r="Q86" s="1">
        <f t="shared" si="5"/>
        <v>206.10013066482114</v>
      </c>
      <c r="R86" s="1">
        <f t="shared" si="8"/>
        <v>2.4227573641882429</v>
      </c>
      <c r="S86" s="1">
        <f t="shared" si="9"/>
        <v>0.41002526726911637</v>
      </c>
      <c r="T86" s="1">
        <f t="shared" si="6"/>
        <v>-5.0094370796711214</v>
      </c>
    </row>
    <row r="87" spans="1:20" x14ac:dyDescent="0.25">
      <c r="A87">
        <v>86.032135156876663</v>
      </c>
      <c r="B87">
        <v>5.4</v>
      </c>
      <c r="C87">
        <v>1.0253195466316314</v>
      </c>
      <c r="D87">
        <v>494.40000000000003</v>
      </c>
      <c r="E87">
        <v>1.9862879781322739E-2</v>
      </c>
      <c r="F87">
        <v>9.3391284741439068E-3</v>
      </c>
      <c r="G87">
        <v>539.87564955509254</v>
      </c>
      <c r="H87">
        <v>0.76031999999999944</v>
      </c>
      <c r="I87">
        <v>1.5038854225674566E-4</v>
      </c>
      <c r="J87">
        <v>9.9314398906613708E-4</v>
      </c>
      <c r="K87">
        <v>0.66685158131177524</v>
      </c>
      <c r="L87">
        <v>8.8532621161405558</v>
      </c>
      <c r="M87">
        <v>1.8838009816084456</v>
      </c>
      <c r="N87">
        <v>-11.70259514394235</v>
      </c>
      <c r="O87">
        <v>8.2723234105504304E-6</v>
      </c>
      <c r="P87" s="1">
        <f t="shared" si="7"/>
        <v>132.66990464279201</v>
      </c>
      <c r="Q87" s="1">
        <f t="shared" si="5"/>
        <v>208.53763213078935</v>
      </c>
      <c r="R87" s="1">
        <f t="shared" si="8"/>
        <v>2.4375014659682108</v>
      </c>
      <c r="S87" s="1">
        <f t="shared" si="9"/>
        <v>0.41011067411662311</v>
      </c>
      <c r="T87" s="1">
        <f t="shared" si="6"/>
        <v>-5.0823724949619535</v>
      </c>
    </row>
    <row r="88" spans="1:20" x14ac:dyDescent="0.25">
      <c r="A88">
        <v>87.049396356556343</v>
      </c>
      <c r="B88">
        <v>5.4</v>
      </c>
      <c r="C88">
        <v>1.0253282162427599</v>
      </c>
      <c r="D88">
        <v>499.8</v>
      </c>
      <c r="E88">
        <v>1.7944438033242617E-2</v>
      </c>
      <c r="F88">
        <v>8.4371188301446513E-3</v>
      </c>
      <c r="G88">
        <v>539.88583917594349</v>
      </c>
      <c r="H88">
        <v>0.76031999999999944</v>
      </c>
      <c r="I88">
        <v>1.3586342721650006E-4</v>
      </c>
      <c r="J88">
        <v>8.9722190166213094E-4</v>
      </c>
      <c r="K88">
        <v>0.67753743145972289</v>
      </c>
      <c r="L88">
        <v>8.6432600232429593</v>
      </c>
      <c r="M88">
        <v>1.8838170364438522</v>
      </c>
      <c r="N88">
        <v>-11.87053514394235</v>
      </c>
      <c r="O88">
        <v>6.993459911867216E-6</v>
      </c>
      <c r="P88" s="1">
        <f t="shared" si="7"/>
        <v>132.66991163625192</v>
      </c>
      <c r="Q88" s="1">
        <f t="shared" si="5"/>
        <v>210.99280785076621</v>
      </c>
      <c r="R88" s="1">
        <f t="shared" si="8"/>
        <v>2.4551757199768645</v>
      </c>
      <c r="S88" s="1">
        <f t="shared" si="9"/>
        <v>0.41015978998642549</v>
      </c>
      <c r="T88" s="1">
        <f t="shared" si="6"/>
        <v>-5.1553079102527857</v>
      </c>
    </row>
    <row r="89" spans="1:20" x14ac:dyDescent="0.25">
      <c r="A89">
        <v>88.066665388443113</v>
      </c>
      <c r="B89">
        <v>5.4</v>
      </c>
      <c r="C89">
        <v>1.0253360484498237</v>
      </c>
      <c r="D89">
        <v>505.20000000000005</v>
      </c>
      <c r="E89">
        <v>1.6211260867030369E-2</v>
      </c>
      <c r="F89">
        <v>7.6222159686853844E-3</v>
      </c>
      <c r="G89">
        <v>539.89504463197568</v>
      </c>
      <c r="H89">
        <v>0.76031999999999944</v>
      </c>
      <c r="I89">
        <v>1.2274099788543298E-4</v>
      </c>
      <c r="J89">
        <v>8.1056304335151849E-4</v>
      </c>
      <c r="K89">
        <v>0.68753451066556803</v>
      </c>
      <c r="L89">
        <v>8.4527041410668602</v>
      </c>
      <c r="M89">
        <v>1.8838315405310544</v>
      </c>
      <c r="N89">
        <v>-12.03847514394235</v>
      </c>
      <c r="O89">
        <v>5.9123028817413595E-6</v>
      </c>
      <c r="P89" s="1">
        <f t="shared" si="7"/>
        <v>132.66991754855479</v>
      </c>
      <c r="Q89" s="1">
        <f t="shared" si="5"/>
        <v>213.46922446601346</v>
      </c>
      <c r="R89" s="1">
        <f t="shared" si="8"/>
        <v>2.4764166152472455</v>
      </c>
      <c r="S89" s="1">
        <f t="shared" si="9"/>
        <v>0.4101669975684944</v>
      </c>
      <c r="T89" s="1">
        <f t="shared" si="6"/>
        <v>-5.2282433255436178</v>
      </c>
    </row>
    <row r="90" spans="1:20" x14ac:dyDescent="0.25">
      <c r="A90">
        <v>89.083941496011619</v>
      </c>
      <c r="B90">
        <v>5.4</v>
      </c>
      <c r="C90">
        <v>1.0253431241315201</v>
      </c>
      <c r="D90">
        <v>510.6</v>
      </c>
      <c r="E90">
        <v>1.4645462129935427E-2</v>
      </c>
      <c r="F90">
        <v>6.8860103775034405E-3</v>
      </c>
      <c r="G90">
        <v>539.90336096574572</v>
      </c>
      <c r="H90">
        <v>0.76031999999999944</v>
      </c>
      <c r="I90">
        <v>1.1088583538652885E-4</v>
      </c>
      <c r="J90">
        <v>7.3227310649677134E-4</v>
      </c>
      <c r="K90">
        <v>0.69686067070792534</v>
      </c>
      <c r="L90">
        <v>8.2798660627197211</v>
      </c>
      <c r="M90">
        <v>1.8838446436453813</v>
      </c>
      <c r="N90">
        <v>-12.206415143942349</v>
      </c>
      <c r="O90">
        <v>4.9982878011685487E-6</v>
      </c>
      <c r="P90" s="1">
        <f t="shared" si="7"/>
        <v>132.6699225468426</v>
      </c>
      <c r="Q90" s="1">
        <f t="shared" si="5"/>
        <v>215.97124690156326</v>
      </c>
      <c r="R90" s="1">
        <f t="shared" si="8"/>
        <v>2.5020224355498044</v>
      </c>
      <c r="S90" s="1">
        <f t="shared" si="9"/>
        <v>0.4101254436086984</v>
      </c>
      <c r="T90" s="1">
        <f t="shared" si="6"/>
        <v>-5.30117874083445</v>
      </c>
    </row>
    <row r="91" spans="1:20" x14ac:dyDescent="0.25">
      <c r="A91">
        <v>90.101223995804929</v>
      </c>
      <c r="B91">
        <v>5.4</v>
      </c>
      <c r="C91">
        <v>1.0253495163563118</v>
      </c>
      <c r="D91">
        <v>516</v>
      </c>
      <c r="E91">
        <v>1.3230881563744428E-2</v>
      </c>
      <c r="F91">
        <v>6.220903985927958E-3</v>
      </c>
      <c r="G91">
        <v>539.91087404377629</v>
      </c>
      <c r="H91">
        <v>0.76031999999999944</v>
      </c>
      <c r="I91">
        <v>1.0017558753507182E-4</v>
      </c>
      <c r="J91">
        <v>6.6154407818722148E-4</v>
      </c>
      <c r="K91">
        <v>0.70553789852809456</v>
      </c>
      <c r="L91">
        <v>8.1231578633959352</v>
      </c>
      <c r="M91">
        <v>1.8838564810987231</v>
      </c>
      <c r="N91">
        <v>-12.374355143942349</v>
      </c>
      <c r="O91">
        <v>4.2255752864866901E-6</v>
      </c>
      <c r="P91" s="1">
        <f t="shared" si="7"/>
        <v>132.66992677241788</v>
      </c>
      <c r="Q91" s="1">
        <f t="shared" si="5"/>
        <v>218.50425154947263</v>
      </c>
      <c r="R91" s="1">
        <f t="shared" si="8"/>
        <v>2.5330046479093653</v>
      </c>
      <c r="S91" s="1">
        <f t="shared" si="9"/>
        <v>0.41002672538672857</v>
      </c>
      <c r="T91" s="1">
        <f t="shared" si="6"/>
        <v>-5.3741141561252821</v>
      </c>
    </row>
    <row r="92" spans="1:20" x14ac:dyDescent="0.25">
      <c r="A92">
        <v>91.118512270378389</v>
      </c>
      <c r="B92">
        <v>5.4</v>
      </c>
      <c r="C92">
        <v>1.025355291136413</v>
      </c>
      <c r="D92">
        <v>521.4</v>
      </c>
      <c r="E92">
        <v>1.1952918433572856E-2</v>
      </c>
      <c r="F92">
        <v>5.6200319480086023E-3</v>
      </c>
      <c r="G92">
        <v>539.91766144203029</v>
      </c>
      <c r="H92">
        <v>0.76031999999999944</v>
      </c>
      <c r="I92">
        <v>9.0499709307707E-5</v>
      </c>
      <c r="J92">
        <v>5.9764592167864286E-4</v>
      </c>
      <c r="K92">
        <v>0.71359145248327316</v>
      </c>
      <c r="L92">
        <v>7.9811231143809662</v>
      </c>
      <c r="M92">
        <v>1.8838671751360363</v>
      </c>
      <c r="N92">
        <v>-12.542295143942349</v>
      </c>
      <c r="O92">
        <v>3.5723206049864989E-6</v>
      </c>
      <c r="P92" s="1">
        <f t="shared" si="7"/>
        <v>132.66993034473848</v>
      </c>
      <c r="Q92" s="1">
        <f t="shared" si="5"/>
        <v>221.07491215042378</v>
      </c>
      <c r="R92" s="1">
        <f t="shared" si="8"/>
        <v>2.5706606009511574</v>
      </c>
      <c r="S92" s="1">
        <f t="shared" si="9"/>
        <v>0.40986047331973557</v>
      </c>
      <c r="T92" s="1">
        <f t="shared" si="6"/>
        <v>-5.4470495714161142</v>
      </c>
    </row>
    <row r="93" spans="1:20" x14ac:dyDescent="0.25">
      <c r="A93">
        <v>92.135805761924459</v>
      </c>
      <c r="B93">
        <v>5.4</v>
      </c>
      <c r="C93">
        <v>1.0253605081090273</v>
      </c>
      <c r="D93">
        <v>526.80000000000007</v>
      </c>
      <c r="E93">
        <v>1.0798381163786135E-2</v>
      </c>
      <c r="F93">
        <v>5.0771919504567003E-3</v>
      </c>
      <c r="G93">
        <v>539.92379324602007</v>
      </c>
      <c r="H93">
        <v>0.76031999999999944</v>
      </c>
      <c r="I93">
        <v>8.175832448400485E-5</v>
      </c>
      <c r="J93">
        <v>5.3991905818930681E-4</v>
      </c>
      <c r="K93">
        <v>0.7210490598072038</v>
      </c>
      <c r="L93">
        <v>7.852427994145744</v>
      </c>
      <c r="M93">
        <v>1.883876836196426</v>
      </c>
      <c r="N93">
        <v>-12.71023514394235</v>
      </c>
      <c r="O93">
        <v>3.0200561200795692E-6</v>
      </c>
      <c r="P93" s="1">
        <f t="shared" si="7"/>
        <v>132.66993336479459</v>
      </c>
      <c r="Q93" s="1">
        <f t="shared" si="5"/>
        <v>223.69159028567296</v>
      </c>
      <c r="R93" s="1">
        <f t="shared" si="8"/>
        <v>2.6166781352491739</v>
      </c>
      <c r="S93" s="1">
        <f t="shared" si="9"/>
        <v>0.40961378520817809</v>
      </c>
      <c r="T93" s="1">
        <f t="shared" si="6"/>
        <v>-5.5199849867069464</v>
      </c>
    </row>
    <row r="94" spans="1:20" x14ac:dyDescent="0.25">
      <c r="A94">
        <v>93.153103966513243</v>
      </c>
      <c r="B94">
        <v>5.4</v>
      </c>
      <c r="C94">
        <v>1.0253652211518491</v>
      </c>
      <c r="D94">
        <v>532.20000000000005</v>
      </c>
      <c r="E94">
        <v>9.7553514465989043E-3</v>
      </c>
      <c r="F94">
        <v>4.5867803242137968E-3</v>
      </c>
      <c r="G94">
        <v>539.9293327737621</v>
      </c>
      <c r="H94">
        <v>0.76031999999999944</v>
      </c>
      <c r="I94">
        <v>7.3861196847243153E-5</v>
      </c>
      <c r="J94">
        <v>4.8776757232994522E-4</v>
      </c>
      <c r="K94">
        <v>0.72794018819563655</v>
      </c>
      <c r="L94">
        <v>7.7358526108918149</v>
      </c>
      <c r="M94">
        <v>1.8838855640533028</v>
      </c>
      <c r="N94">
        <v>-12.878175143942348</v>
      </c>
      <c r="O94">
        <v>2.5531692076289823E-6</v>
      </c>
      <c r="P94" s="1">
        <f t="shared" si="7"/>
        <v>132.66993591796378</v>
      </c>
      <c r="Q94" s="1">
        <f t="shared" si="5"/>
        <v>226.36488060283997</v>
      </c>
      <c r="R94" s="1">
        <f t="shared" si="8"/>
        <v>2.6732903171670159</v>
      </c>
      <c r="S94" s="1">
        <f t="shared" si="9"/>
        <v>0.40927044255935052</v>
      </c>
      <c r="T94" s="1">
        <f t="shared" si="6"/>
        <v>-5.5929204019977785</v>
      </c>
    </row>
    <row r="95" spans="1:20" x14ac:dyDescent="0.25">
      <c r="A95">
        <v>94.170406428889322</v>
      </c>
      <c r="B95">
        <v>5.4</v>
      </c>
      <c r="C95">
        <v>1.0253694789391696</v>
      </c>
      <c r="D95">
        <v>537.6</v>
      </c>
      <c r="E95">
        <v>8.8130614349191758E-3</v>
      </c>
      <c r="F95">
        <v>4.1437343070121341E-3</v>
      </c>
      <c r="G95">
        <v>539.93433722901352</v>
      </c>
      <c r="H95">
        <v>0.76031999999999944</v>
      </c>
      <c r="I95">
        <v>6.6726800434978022E-5</v>
      </c>
      <c r="J95">
        <v>4.4065307174595883E-4</v>
      </c>
      <c r="K95">
        <v>0.73429539897619533</v>
      </c>
      <c r="L95">
        <v>7.6302826215483748</v>
      </c>
      <c r="M95">
        <v>1.8838934488445918</v>
      </c>
      <c r="N95">
        <v>-13.04611514394235</v>
      </c>
      <c r="O95">
        <v>2.1584608840358419E-6</v>
      </c>
      <c r="P95" s="1">
        <f t="shared" si="7"/>
        <v>132.66993807642467</v>
      </c>
      <c r="Q95" s="1">
        <f t="shared" si="5"/>
        <v>229.10839155285987</v>
      </c>
      <c r="R95" s="1">
        <f t="shared" si="8"/>
        <v>2.7435109500198962</v>
      </c>
      <c r="S95" s="1">
        <f t="shared" si="9"/>
        <v>0.40880979768081366</v>
      </c>
      <c r="T95" s="1">
        <f t="shared" si="6"/>
        <v>-5.6658558172886107</v>
      </c>
    </row>
    <row r="96" spans="1:20" x14ac:dyDescent="0.25">
      <c r="A96">
        <v>95.187712737770653</v>
      </c>
      <c r="B96">
        <v>5.4</v>
      </c>
      <c r="C96">
        <v>1.0253733254443083</v>
      </c>
      <c r="D96">
        <v>543</v>
      </c>
      <c r="E96">
        <v>7.9617827633752629E-3</v>
      </c>
      <c r="F96">
        <v>3.7434798665663236E-3</v>
      </c>
      <c r="G96">
        <v>539.93885829149337</v>
      </c>
      <c r="H96">
        <v>0.76031999999999944</v>
      </c>
      <c r="I96">
        <v>6.0281479332791037E-5</v>
      </c>
      <c r="J96">
        <v>3.9808913816876318E-4</v>
      </c>
      <c r="K96">
        <v>0.74014578474465476</v>
      </c>
      <c r="L96">
        <v>7.5347012079973235</v>
      </c>
      <c r="M96">
        <v>1.8839005720024642</v>
      </c>
      <c r="N96">
        <v>-13.21405514394235</v>
      </c>
      <c r="O96">
        <v>1.8247726684121167E-6</v>
      </c>
      <c r="P96" s="1">
        <f t="shared" si="7"/>
        <v>132.66993990119735</v>
      </c>
      <c r="Q96" s="1">
        <f t="shared" si="5"/>
        <v>231.93989624978857</v>
      </c>
      <c r="R96" s="1">
        <f t="shared" si="8"/>
        <v>2.8315046969287039</v>
      </c>
      <c r="S96" s="1">
        <f t="shared" si="9"/>
        <v>0.40820514760153642</v>
      </c>
      <c r="T96" s="1">
        <f t="shared" si="6"/>
        <v>-5.7387912325794428</v>
      </c>
    </row>
    <row r="97" spans="1:20" x14ac:dyDescent="0.25">
      <c r="A97">
        <v>96.205022521601222</v>
      </c>
      <c r="B97">
        <v>5.4</v>
      </c>
      <c r="C97">
        <v>1.0253768003935508</v>
      </c>
      <c r="D97">
        <v>548.4</v>
      </c>
      <c r="E97">
        <v>7.1927262613557504E-3</v>
      </c>
      <c r="F97">
        <v>3.3818845503096693E-3</v>
      </c>
      <c r="G97">
        <v>539.94294265016754</v>
      </c>
      <c r="H97">
        <v>0.76031999999999944</v>
      </c>
      <c r="I97">
        <v>5.4458688410783733E-5</v>
      </c>
      <c r="J97">
        <v>3.5963631306778755E-4</v>
      </c>
      <c r="K97">
        <v>0.7455224906971305</v>
      </c>
      <c r="L97">
        <v>7.4481814515392246</v>
      </c>
      <c r="M97">
        <v>1.8839070070936468</v>
      </c>
      <c r="N97">
        <v>-13.381995143942349</v>
      </c>
      <c r="O97">
        <v>1.5426711301609974E-6</v>
      </c>
      <c r="P97" s="1">
        <f t="shared" si="7"/>
        <v>132.66994144386848</v>
      </c>
      <c r="Q97" s="1">
        <f t="shared" si="5"/>
        <v>234.88308825189321</v>
      </c>
      <c r="R97" s="1">
        <f t="shared" si="8"/>
        <v>2.943192002104638</v>
      </c>
      <c r="S97" s="1">
        <f t="shared" si="9"/>
        <v>0.40742127643970383</v>
      </c>
      <c r="T97" s="1">
        <f t="shared" si="6"/>
        <v>-5.8117266478702749</v>
      </c>
    </row>
    <row r="98" spans="1:20" x14ac:dyDescent="0.25">
      <c r="A98">
        <v>97.222335444714517</v>
      </c>
      <c r="B98">
        <v>5.4</v>
      </c>
      <c r="C98">
        <v>1.0253799396762699</v>
      </c>
      <c r="D98">
        <v>553.80000000000007</v>
      </c>
      <c r="E98">
        <v>6.497951330462319E-3</v>
      </c>
      <c r="F98">
        <v>3.0552148786299992E-3</v>
      </c>
      <c r="G98">
        <v>539.9466324850813</v>
      </c>
      <c r="H98">
        <v>0.76031999999999944</v>
      </c>
      <c r="I98">
        <v>4.9198307224315601E-5</v>
      </c>
      <c r="J98">
        <v>3.2489756652311595E-4</v>
      </c>
      <c r="K98">
        <v>0.75045631612907215</v>
      </c>
      <c r="L98">
        <v>7.3698791306860398</v>
      </c>
      <c r="M98">
        <v>1.8839128205801752</v>
      </c>
      <c r="N98">
        <v>-13.549935143942349</v>
      </c>
      <c r="O98">
        <v>1.3041812040636803E-6</v>
      </c>
      <c r="P98" s="1">
        <f t="shared" si="7"/>
        <v>132.66994274804969</v>
      </c>
      <c r="Q98" s="1">
        <f t="shared" si="5"/>
        <v>237.97037170046556</v>
      </c>
      <c r="R98" s="1">
        <f t="shared" si="8"/>
        <v>3.0872834485723502</v>
      </c>
      <c r="S98" s="1">
        <f t="shared" si="9"/>
        <v>0.40641058923457851</v>
      </c>
      <c r="T98" s="1">
        <f t="shared" si="6"/>
        <v>-5.8846620631611062</v>
      </c>
    </row>
    <row r="99" spans="1:20" x14ac:dyDescent="0.25">
      <c r="A99">
        <v>98.239651203866998</v>
      </c>
      <c r="B99">
        <v>5.4</v>
      </c>
      <c r="C99">
        <v>1.0253827757154528</v>
      </c>
      <c r="D99">
        <v>559.20000000000005</v>
      </c>
      <c r="E99">
        <v>5.87028405706217E-3</v>
      </c>
      <c r="F99">
        <v>2.7600978447771727E-3</v>
      </c>
      <c r="G99">
        <v>539.94996590269398</v>
      </c>
      <c r="H99">
        <v>0.76031999999999944</v>
      </c>
      <c r="I99">
        <v>4.4446020044720997E-5</v>
      </c>
      <c r="J99">
        <v>2.9351420285310853E-4</v>
      </c>
      <c r="K99">
        <v>0.75497739062543001</v>
      </c>
      <c r="L99">
        <v>7.2990259547015253</v>
      </c>
      <c r="M99">
        <v>1.8839180725045948</v>
      </c>
      <c r="N99">
        <v>-13.717875143942349</v>
      </c>
      <c r="O99">
        <v>1.1025607336383363E-6</v>
      </c>
      <c r="P99" s="1">
        <f t="shared" si="7"/>
        <v>132.66994385061042</v>
      </c>
      <c r="Q99" s="1">
        <f t="shared" si="5"/>
        <v>241.24751889255839</v>
      </c>
      <c r="R99" s="1">
        <f t="shared" si="8"/>
        <v>3.2771471920928263</v>
      </c>
      <c r="S99" s="1">
        <f t="shared" si="9"/>
        <v>0.40510672927507319</v>
      </c>
      <c r="T99" s="1">
        <f t="shared" si="6"/>
        <v>-5.9575974784519383</v>
      </c>
    </row>
    <row r="100" spans="1:20" x14ac:dyDescent="0.25">
      <c r="A100">
        <v>99.256969525106399</v>
      </c>
      <c r="B100">
        <v>5.4</v>
      </c>
      <c r="C100">
        <v>1.0253853378024573</v>
      </c>
      <c r="D100">
        <v>564.6</v>
      </c>
      <c r="E100">
        <v>5.3032432196369215E-3</v>
      </c>
      <c r="F100">
        <v>2.4934861264066994E-3</v>
      </c>
      <c r="G100">
        <v>539.95297732920335</v>
      </c>
      <c r="H100">
        <v>0.76031999999999944</v>
      </c>
      <c r="I100">
        <v>4.0152755658723011E-5</v>
      </c>
      <c r="J100">
        <v>2.6516216098184607E-4</v>
      </c>
      <c r="K100">
        <v>0.75911491822065935</v>
      </c>
      <c r="L100">
        <v>7.2349232353958755</v>
      </c>
      <c r="M100">
        <v>1.8839228171100013</v>
      </c>
      <c r="N100">
        <v>-13.885815143942351</v>
      </c>
      <c r="O100">
        <v>9.3210986906827747E-7</v>
      </c>
      <c r="P100" s="1">
        <f t="shared" si="7"/>
        <v>132.66994478272028</v>
      </c>
      <c r="Q100" s="1">
        <f t="shared" si="5"/>
        <v>244.78193690801965</v>
      </c>
      <c r="R100" s="1">
        <f t="shared" si="8"/>
        <v>3.5344180154612559</v>
      </c>
      <c r="S100" s="1">
        <f t="shared" si="9"/>
        <v>0.40341338749024119</v>
      </c>
      <c r="T100" s="1">
        <f t="shared" si="6"/>
        <v>-6.0305328937427713</v>
      </c>
    </row>
    <row r="101" spans="1:20" x14ac:dyDescent="0.25">
      <c r="A101">
        <v>100.27429016094284</v>
      </c>
      <c r="B101">
        <v>5.4</v>
      </c>
      <c r="C101">
        <v>1.0253876523994496</v>
      </c>
      <c r="D101">
        <v>570</v>
      </c>
      <c r="E101">
        <v>4.7909734311419672E-3</v>
      </c>
      <c r="F101">
        <v>2.2526266515887762E-3</v>
      </c>
      <c r="G101">
        <v>539.95569786591045</v>
      </c>
      <c r="H101">
        <v>0.76031999999999944</v>
      </c>
      <c r="I101">
        <v>3.6274181185004464E-5</v>
      </c>
      <c r="J101">
        <v>2.3954867155709836E-4</v>
      </c>
      <c r="K101">
        <v>0.76289698214010127</v>
      </c>
      <c r="L101">
        <v>7.176935992051324</v>
      </c>
      <c r="M101">
        <v>1.8839271034008167</v>
      </c>
      <c r="N101">
        <v>-14.05375514394235</v>
      </c>
      <c r="O101">
        <v>7.8800993134177466E-7</v>
      </c>
      <c r="P101" s="1">
        <f t="shared" si="7"/>
        <v>132.66994557073022</v>
      </c>
      <c r="Q101" s="1">
        <f t="shared" si="5"/>
        <v>248.67853235966047</v>
      </c>
      <c r="R101" s="1">
        <f t="shared" si="8"/>
        <v>3.8965954516408203</v>
      </c>
      <c r="S101" s="1">
        <f t="shared" si="9"/>
        <v>0.40118312142334389</v>
      </c>
      <c r="T101" s="1">
        <f t="shared" si="6"/>
        <v>-6.1034683090336035</v>
      </c>
    </row>
    <row r="102" spans="1:20" x14ac:dyDescent="0.25">
      <c r="A102">
        <v>101.29161288779245</v>
      </c>
      <c r="B102">
        <v>5.4</v>
      </c>
      <c r="C102">
        <v>1.0253897434126404</v>
      </c>
      <c r="D102">
        <v>575.4</v>
      </c>
      <c r="E102">
        <v>4.3281847294564524E-3</v>
      </c>
      <c r="F102">
        <v>2.0350321963669734E-3</v>
      </c>
      <c r="G102">
        <v>539.9581556102795</v>
      </c>
      <c r="H102">
        <v>0.76031999999999944</v>
      </c>
      <c r="I102">
        <v>3.2770244708002803E-5</v>
      </c>
      <c r="J102">
        <v>2.1640923647282264E-4</v>
      </c>
      <c r="K102">
        <v>0.76635040252319253</v>
      </c>
      <c r="L102">
        <v>7.1244874786167314</v>
      </c>
      <c r="M102">
        <v>1.8839309756474323</v>
      </c>
      <c r="N102">
        <v>-14.22169514394235</v>
      </c>
      <c r="O102">
        <v>6.6618718726148677E-7</v>
      </c>
      <c r="P102" s="1">
        <f t="shared" si="7"/>
        <v>132.66994623691741</v>
      </c>
      <c r="Q102" s="1">
        <f t="shared" si="5"/>
        <v>253.11349565985518</v>
      </c>
      <c r="R102" s="1">
        <f t="shared" si="8"/>
        <v>4.4349633001947097</v>
      </c>
      <c r="S102" s="1">
        <f t="shared" si="9"/>
        <v>0.39817296688045478</v>
      </c>
      <c r="T102" s="1">
        <f t="shared" si="6"/>
        <v>-6.1764037243244347</v>
      </c>
    </row>
    <row r="103" spans="1:20" x14ac:dyDescent="0.25">
      <c r="A103">
        <v>102.30893750366857</v>
      </c>
      <c r="B103">
        <v>5.4</v>
      </c>
      <c r="C103">
        <v>1.0253916324391366</v>
      </c>
      <c r="D103">
        <v>580.80000000000007</v>
      </c>
      <c r="E103">
        <v>3.9100979949510022E-3</v>
      </c>
      <c r="F103">
        <v>1.8384557219271202E-3</v>
      </c>
      <c r="G103">
        <v>539.96037594601046</v>
      </c>
      <c r="H103">
        <v>0.76031999999999944</v>
      </c>
      <c r="I103">
        <v>2.9604762027811925E-5</v>
      </c>
      <c r="J103">
        <v>1.9550489974755011E-4</v>
      </c>
      <c r="K103">
        <v>0.76950063966058102</v>
      </c>
      <c r="L103">
        <v>7.077054118119892</v>
      </c>
      <c r="M103">
        <v>1.8839344738446671</v>
      </c>
      <c r="N103">
        <v>-14.38963514394235</v>
      </c>
      <c r="O103">
        <v>5.6319768421660202E-7</v>
      </c>
      <c r="P103" s="1">
        <f t="shared" si="7"/>
        <v>132.6699468001151</v>
      </c>
      <c r="Q103" s="1">
        <f t="shared" si="5"/>
        <v>258.41761756616813</v>
      </c>
      <c r="R103" s="1">
        <f t="shared" si="8"/>
        <v>5.3041219063129574</v>
      </c>
      <c r="S103" s="1">
        <f t="shared" si="9"/>
        <v>0.39393705489009251</v>
      </c>
      <c r="T103" s="1">
        <f t="shared" si="6"/>
        <v>-6.2493391396152669</v>
      </c>
    </row>
    <row r="104" spans="1:20" x14ac:dyDescent="0.25">
      <c r="A104">
        <v>103.32626382609551</v>
      </c>
      <c r="B104">
        <v>5.4</v>
      </c>
      <c r="C104">
        <v>1.0253933389899585</v>
      </c>
      <c r="D104">
        <v>586.20000000000005</v>
      </c>
      <c r="E104">
        <v>3.5323956338143103E-3</v>
      </c>
      <c r="F104">
        <v>1.6608671874790643E-3</v>
      </c>
      <c r="G104">
        <v>539.96238180510466</v>
      </c>
      <c r="H104">
        <v>0.76031999999999944</v>
      </c>
      <c r="I104">
        <v>2.6745043276635492E-5</v>
      </c>
      <c r="J104">
        <v>1.7661978169071553E-4</v>
      </c>
      <c r="K104">
        <v>0.77237173565276362</v>
      </c>
      <c r="L104">
        <v>7.0341608263048538</v>
      </c>
      <c r="M104">
        <v>1.8839376341239611</v>
      </c>
      <c r="N104">
        <v>-14.55757514394235</v>
      </c>
      <c r="O104">
        <v>4.761298889743459E-7</v>
      </c>
      <c r="P104" s="1">
        <f t="shared" si="7"/>
        <v>132.66994727624498</v>
      </c>
      <c r="Q104" s="1">
        <f t="shared" si="5"/>
        <v>265.33411369770283</v>
      </c>
      <c r="R104" s="1">
        <f t="shared" si="8"/>
        <v>6.9164961315347</v>
      </c>
      <c r="T104" s="1">
        <f t="shared" si="6"/>
        <v>-6.322274554906099</v>
      </c>
    </row>
    <row r="105" spans="1:20" x14ac:dyDescent="0.25">
      <c r="A105">
        <v>104.34359169022402</v>
      </c>
      <c r="B105">
        <v>5.4</v>
      </c>
      <c r="C105">
        <v>1.025394880691521</v>
      </c>
      <c r="D105">
        <v>591.6</v>
      </c>
      <c r="E105">
        <v>3.1911770197405719E-3</v>
      </c>
      <c r="F105">
        <v>1.5004326003057453E-3</v>
      </c>
      <c r="G105">
        <v>539.96419390463382</v>
      </c>
      <c r="H105">
        <v>0.76031999999999944</v>
      </c>
      <c r="I105">
        <v>2.4161555560478987E-5</v>
      </c>
      <c r="J105">
        <v>1.5955885098702861E-4</v>
      </c>
      <c r="K105">
        <v>0.77498628793325086</v>
      </c>
      <c r="L105">
        <v>6.9953767045703934</v>
      </c>
      <c r="M105">
        <v>1.8839404891268587</v>
      </c>
      <c r="N105">
        <v>-14.725515143942349</v>
      </c>
      <c r="O105">
        <v>4.0252237807060256E-7</v>
      </c>
      <c r="P105" s="1">
        <f t="shared" si="7"/>
        <v>132.66994767876736</v>
      </c>
      <c r="Q105" s="1">
        <f t="shared" si="5"/>
        <v>276.23530322972113</v>
      </c>
      <c r="R105" s="1">
        <f t="shared" si="8"/>
        <v>10.901189532018293</v>
      </c>
      <c r="T105" s="1">
        <f t="shared" si="6"/>
        <v>-6.3952099701969312</v>
      </c>
    </row>
    <row r="106" spans="1:20" x14ac:dyDescent="0.25">
      <c r="A106">
        <v>105.36092094712866</v>
      </c>
      <c r="B106">
        <v>5.4</v>
      </c>
      <c r="C106">
        <v>1.0253962734676574</v>
      </c>
      <c r="D106">
        <v>597</v>
      </c>
      <c r="E106">
        <v>2.882918235351091E-3</v>
      </c>
      <c r="F106">
        <v>1.3554950873670396E-3</v>
      </c>
      <c r="G106">
        <v>539.96583096064683</v>
      </c>
      <c r="H106">
        <v>0.76031999999999944</v>
      </c>
      <c r="I106">
        <v>2.182761815405861E-5</v>
      </c>
      <c r="J106">
        <v>1.4414591176755456E-4</v>
      </c>
      <c r="K106">
        <v>0.7773654487279843</v>
      </c>
      <c r="L106">
        <v>6.960311081148042</v>
      </c>
      <c r="M106">
        <v>1.8839430683419356</v>
      </c>
      <c r="N106">
        <v>-14.893455143942349</v>
      </c>
      <c r="O106">
        <v>3.40294252891028E-7</v>
      </c>
      <c r="P106" s="1">
        <f t="shared" si="7"/>
        <v>132.66994801906162</v>
      </c>
      <c r="Q106" s="1" t="e">
        <f t="shared" si="5"/>
        <v>#DIV/0!</v>
      </c>
      <c r="R106" s="1" t="e">
        <f t="shared" si="8"/>
        <v>#DIV/0!</v>
      </c>
      <c r="T106" s="1">
        <f t="shared" si="6"/>
        <v>-6.4681453854877633</v>
      </c>
    </row>
    <row r="107" spans="1:20" x14ac:dyDescent="0.25">
      <c r="B107"/>
      <c r="C107"/>
      <c r="D107"/>
      <c r="E107"/>
      <c r="F107"/>
      <c r="G107"/>
      <c r="H107"/>
      <c r="I107"/>
      <c r="J107"/>
      <c r="K107"/>
      <c r="L107"/>
      <c r="M107"/>
      <c r="N107"/>
      <c r="O107"/>
      <c r="P107" s="1">
        <f t="shared" si="7"/>
        <v>132.66994801906162</v>
      </c>
      <c r="Q107" s="1" t="e">
        <f t="shared" si="5"/>
        <v>#DIV/0!</v>
      </c>
      <c r="R107" s="1" t="e">
        <f t="shared" si="8"/>
        <v>#DIV/0!</v>
      </c>
      <c r="T107" s="1" t="e">
        <f t="shared" si="6"/>
        <v>#NUM!</v>
      </c>
    </row>
    <row r="108" spans="1:20" x14ac:dyDescent="0.25">
      <c r="B108"/>
      <c r="C108"/>
      <c r="D108"/>
      <c r="E108"/>
      <c r="F108"/>
      <c r="G108"/>
      <c r="H108"/>
      <c r="I108"/>
      <c r="J108"/>
      <c r="K108"/>
      <c r="L108"/>
      <c r="M108"/>
      <c r="N108"/>
      <c r="O108"/>
      <c r="P108" s="1">
        <f t="shared" si="7"/>
        <v>132.66994801906162</v>
      </c>
      <c r="Q108" s="1" t="e">
        <f t="shared" si="5"/>
        <v>#DIV/0!</v>
      </c>
      <c r="R108" s="1" t="e">
        <f t="shared" si="8"/>
        <v>#DIV/0!</v>
      </c>
      <c r="T108" s="1" t="e">
        <f t="shared" si="6"/>
        <v>#NUM!</v>
      </c>
    </row>
    <row r="109" spans="1:20" x14ac:dyDescent="0.25">
      <c r="B109"/>
      <c r="C109"/>
      <c r="D109"/>
      <c r="E109"/>
      <c r="F109"/>
      <c r="G109"/>
      <c r="H109"/>
      <c r="I109"/>
      <c r="J109"/>
      <c r="K109"/>
      <c r="L109"/>
      <c r="M109"/>
      <c r="N109"/>
      <c r="O109"/>
      <c r="P109" s="1">
        <f t="shared" si="7"/>
        <v>132.66994801906162</v>
      </c>
      <c r="Q109" s="1" t="e">
        <f t="shared" si="5"/>
        <v>#DIV/0!</v>
      </c>
      <c r="R109" s="1" t="e">
        <f t="shared" si="8"/>
        <v>#DIV/0!</v>
      </c>
      <c r="T109" s="1" t="e">
        <f t="shared" si="6"/>
        <v>#NUM!</v>
      </c>
    </row>
    <row r="110" spans="1:20" x14ac:dyDescent="0.25">
      <c r="B110"/>
      <c r="C110"/>
      <c r="D110"/>
      <c r="E110"/>
      <c r="F110"/>
      <c r="G110"/>
      <c r="H110"/>
      <c r="I110"/>
      <c r="J110"/>
      <c r="K110"/>
      <c r="L110"/>
      <c r="M110"/>
      <c r="N110"/>
      <c r="O110"/>
      <c r="P110" s="1">
        <f t="shared" si="7"/>
        <v>132.66994801906162</v>
      </c>
      <c r="Q110" s="1" t="e">
        <f t="shared" si="5"/>
        <v>#DIV/0!</v>
      </c>
      <c r="R110" s="1" t="e">
        <f t="shared" si="8"/>
        <v>#DIV/0!</v>
      </c>
      <c r="T110" s="1" t="e">
        <f t="shared" si="6"/>
        <v>#NUM!</v>
      </c>
    </row>
    <row r="111" spans="1:20" x14ac:dyDescent="0.25">
      <c r="B111"/>
      <c r="C111"/>
      <c r="D111"/>
      <c r="E111"/>
      <c r="F111"/>
      <c r="G111"/>
      <c r="H111"/>
      <c r="I111"/>
      <c r="J111"/>
      <c r="K111"/>
      <c r="L111"/>
      <c r="M111"/>
      <c r="N111"/>
      <c r="O111"/>
      <c r="P111" s="1">
        <f t="shared" si="7"/>
        <v>132.66994801906162</v>
      </c>
      <c r="Q111" s="1" t="e">
        <f t="shared" si="5"/>
        <v>#DIV/0!</v>
      </c>
      <c r="R111" s="1" t="e">
        <f t="shared" si="8"/>
        <v>#DIV/0!</v>
      </c>
      <c r="T111" s="1" t="e">
        <f t="shared" si="6"/>
        <v>#NUM!</v>
      </c>
    </row>
    <row r="112" spans="1:20" x14ac:dyDescent="0.25">
      <c r="B112"/>
      <c r="C112"/>
      <c r="D112"/>
      <c r="E112"/>
      <c r="F112"/>
      <c r="G112"/>
      <c r="H112"/>
      <c r="I112"/>
      <c r="J112"/>
      <c r="K112"/>
      <c r="L112"/>
      <c r="M112"/>
      <c r="N112"/>
      <c r="O112"/>
      <c r="P112" s="1">
        <f t="shared" si="7"/>
        <v>132.66994801906162</v>
      </c>
      <c r="Q112" s="1" t="e">
        <f t="shared" si="5"/>
        <v>#DIV/0!</v>
      </c>
      <c r="R112" s="1" t="e">
        <f t="shared" si="8"/>
        <v>#DIV/0!</v>
      </c>
      <c r="T112" s="1" t="e">
        <f t="shared" si="6"/>
        <v>#NUM!</v>
      </c>
    </row>
    <row r="113" spans="2:20" x14ac:dyDescent="0.25">
      <c r="B113"/>
      <c r="C113"/>
      <c r="D113"/>
      <c r="E113"/>
      <c r="F113"/>
      <c r="G113"/>
      <c r="H113"/>
      <c r="I113"/>
      <c r="J113"/>
      <c r="K113"/>
      <c r="L113"/>
      <c r="M113"/>
      <c r="N113"/>
      <c r="O113"/>
      <c r="P113" s="1">
        <f t="shared" si="7"/>
        <v>132.66994801906162</v>
      </c>
      <c r="Q113" s="1" t="e">
        <f t="shared" si="5"/>
        <v>#DIV/0!</v>
      </c>
      <c r="R113" s="1" t="e">
        <f t="shared" si="8"/>
        <v>#DIV/0!</v>
      </c>
      <c r="T113" s="1" t="e">
        <f t="shared" si="6"/>
        <v>#NUM!</v>
      </c>
    </row>
    <row r="114" spans="2:20" x14ac:dyDescent="0.25">
      <c r="B114"/>
      <c r="C114"/>
      <c r="D114"/>
      <c r="E114"/>
      <c r="F114"/>
      <c r="G114"/>
      <c r="H114"/>
      <c r="I114"/>
      <c r="J114"/>
      <c r="K114"/>
      <c r="L114"/>
      <c r="M114"/>
      <c r="N114"/>
      <c r="O114"/>
      <c r="P114" s="1">
        <f t="shared" si="7"/>
        <v>132.66994801906162</v>
      </c>
      <c r="Q114" s="1" t="e">
        <f t="shared" si="5"/>
        <v>#DIV/0!</v>
      </c>
      <c r="R114" s="1" t="e">
        <f t="shared" si="8"/>
        <v>#DIV/0!</v>
      </c>
      <c r="T114" s="1" t="e">
        <f t="shared" si="6"/>
        <v>#NUM!</v>
      </c>
    </row>
    <row r="115" spans="2:20" x14ac:dyDescent="0.25">
      <c r="B115"/>
      <c r="C115"/>
      <c r="D115"/>
      <c r="E115"/>
      <c r="F115"/>
      <c r="G115"/>
      <c r="H115"/>
      <c r="I115"/>
      <c r="J115"/>
      <c r="K115"/>
      <c r="L115"/>
      <c r="M115"/>
      <c r="N115"/>
      <c r="O115"/>
      <c r="P115" s="1">
        <f t="shared" si="7"/>
        <v>132.66994801906162</v>
      </c>
      <c r="Q115" s="1" t="e">
        <f t="shared" si="5"/>
        <v>#DIV/0!</v>
      </c>
      <c r="R115" s="1" t="e">
        <f t="shared" si="8"/>
        <v>#DIV/0!</v>
      </c>
      <c r="T115" s="1" t="e">
        <f t="shared" si="6"/>
        <v>#NUM!</v>
      </c>
    </row>
    <row r="116" spans="2:20" x14ac:dyDescent="0.25">
      <c r="B116"/>
      <c r="C116"/>
      <c r="D116"/>
      <c r="E116"/>
      <c r="F116"/>
      <c r="G116"/>
      <c r="H116"/>
      <c r="I116"/>
      <c r="J116"/>
      <c r="K116"/>
      <c r="L116"/>
      <c r="M116"/>
      <c r="N116"/>
      <c r="O116"/>
      <c r="P116" s="1">
        <f t="shared" si="7"/>
        <v>132.66994801906162</v>
      </c>
      <c r="Q116" s="1" t="e">
        <f t="shared" si="5"/>
        <v>#DIV/0!</v>
      </c>
      <c r="R116" s="1" t="e">
        <f t="shared" si="8"/>
        <v>#DIV/0!</v>
      </c>
      <c r="T116" s="1" t="e">
        <f t="shared" si="6"/>
        <v>#NUM!</v>
      </c>
    </row>
    <row r="117" spans="2:20" x14ac:dyDescent="0.25">
      <c r="B117"/>
      <c r="C117"/>
      <c r="D117"/>
      <c r="E117"/>
      <c r="F117"/>
      <c r="G117"/>
      <c r="H117"/>
      <c r="I117"/>
      <c r="J117"/>
      <c r="K117"/>
      <c r="L117"/>
      <c r="M117"/>
      <c r="N117"/>
      <c r="O117"/>
      <c r="P117" s="1">
        <f t="shared" si="7"/>
        <v>132.66994801906162</v>
      </c>
      <c r="Q117" s="1" t="e">
        <f t="shared" si="5"/>
        <v>#DIV/0!</v>
      </c>
      <c r="R117" s="1" t="e">
        <f t="shared" si="8"/>
        <v>#DIV/0!</v>
      </c>
      <c r="T117" s="1" t="e">
        <f t="shared" si="6"/>
        <v>#NUM!</v>
      </c>
    </row>
    <row r="118" spans="2:20" x14ac:dyDescent="0.25">
      <c r="B118"/>
      <c r="C118"/>
      <c r="D118"/>
      <c r="E118"/>
      <c r="F118"/>
      <c r="G118"/>
      <c r="H118"/>
      <c r="I118"/>
      <c r="J118"/>
      <c r="K118"/>
      <c r="L118"/>
      <c r="M118"/>
      <c r="N118"/>
      <c r="O118"/>
      <c r="P118" s="1">
        <f t="shared" si="7"/>
        <v>132.66994801906162</v>
      </c>
      <c r="Q118" s="1" t="e">
        <f t="shared" si="5"/>
        <v>#DIV/0!</v>
      </c>
      <c r="R118" s="1" t="e">
        <f t="shared" si="8"/>
        <v>#DIV/0!</v>
      </c>
      <c r="T118" s="1" t="e">
        <f t="shared" si="6"/>
        <v>#NUM!</v>
      </c>
    </row>
    <row r="119" spans="2:20" x14ac:dyDescent="0.25">
      <c r="B119"/>
      <c r="C119"/>
      <c r="D119"/>
      <c r="E119"/>
      <c r="F119"/>
      <c r="G119"/>
      <c r="H119"/>
      <c r="I119"/>
      <c r="J119"/>
      <c r="K119"/>
      <c r="L119"/>
      <c r="M119"/>
      <c r="N119"/>
      <c r="O119"/>
      <c r="P119" s="1">
        <f t="shared" si="7"/>
        <v>132.66994801906162</v>
      </c>
      <c r="Q119" s="1" t="e">
        <f t="shared" si="5"/>
        <v>#DIV/0!</v>
      </c>
      <c r="R119" s="1" t="e">
        <f t="shared" si="8"/>
        <v>#DIV/0!</v>
      </c>
      <c r="T119" s="1" t="e">
        <f t="shared" si="6"/>
        <v>#NUM!</v>
      </c>
    </row>
    <row r="120" spans="2:20" x14ac:dyDescent="0.25">
      <c r="B120"/>
      <c r="C120"/>
      <c r="D120"/>
      <c r="E120"/>
      <c r="F120"/>
      <c r="G120"/>
      <c r="H120"/>
      <c r="I120"/>
      <c r="J120"/>
      <c r="K120"/>
      <c r="L120"/>
      <c r="M120"/>
      <c r="N120"/>
      <c r="O120"/>
      <c r="P120" s="1">
        <f t="shared" si="7"/>
        <v>132.66994801906162</v>
      </c>
      <c r="Q120" s="1" t="e">
        <f t="shared" si="5"/>
        <v>#DIV/0!</v>
      </c>
      <c r="R120" s="1" t="e">
        <f t="shared" si="8"/>
        <v>#DIV/0!</v>
      </c>
      <c r="T120" s="1" t="e">
        <f t="shared" si="6"/>
        <v>#NUM!</v>
      </c>
    </row>
    <row r="121" spans="2:20" x14ac:dyDescent="0.25">
      <c r="B121"/>
      <c r="C121"/>
      <c r="D121"/>
      <c r="E121"/>
      <c r="F121"/>
      <c r="G121"/>
      <c r="H121"/>
      <c r="I121"/>
      <c r="J121"/>
      <c r="K121"/>
      <c r="L121"/>
      <c r="M121"/>
      <c r="N121"/>
      <c r="O121"/>
      <c r="P121" s="1">
        <f t="shared" si="7"/>
        <v>132.66994801906162</v>
      </c>
      <c r="Q121" s="1" t="e">
        <f t="shared" si="5"/>
        <v>#DIV/0!</v>
      </c>
      <c r="R121" s="1" t="e">
        <f t="shared" si="8"/>
        <v>#DIV/0!</v>
      </c>
      <c r="T121" s="1" t="e">
        <f t="shared" si="6"/>
        <v>#NUM!</v>
      </c>
    </row>
    <row r="122" spans="2:20" x14ac:dyDescent="0.25">
      <c r="B122"/>
      <c r="C122"/>
      <c r="D122"/>
      <c r="E122"/>
      <c r="F122"/>
      <c r="G122"/>
      <c r="H122"/>
      <c r="I122"/>
      <c r="J122"/>
      <c r="K122"/>
      <c r="L122"/>
      <c r="M122"/>
      <c r="N122"/>
      <c r="O122"/>
      <c r="P122" s="1">
        <f t="shared" si="7"/>
        <v>132.66994801906162</v>
      </c>
      <c r="Q122" s="1" t="e">
        <f t="shared" si="5"/>
        <v>#DIV/0!</v>
      </c>
      <c r="R122" s="1" t="e">
        <f t="shared" si="8"/>
        <v>#DIV/0!</v>
      </c>
      <c r="T122" s="1" t="e">
        <f t="shared" si="6"/>
        <v>#NUM!</v>
      </c>
    </row>
    <row r="123" spans="2:20" x14ac:dyDescent="0.25">
      <c r="B123"/>
      <c r="C123"/>
      <c r="D123"/>
      <c r="E123"/>
      <c r="F123"/>
      <c r="G123"/>
      <c r="H123"/>
      <c r="I123"/>
      <c r="J123"/>
      <c r="K123"/>
      <c r="L123"/>
      <c r="M123"/>
      <c r="N123"/>
      <c r="O123"/>
      <c r="P123" s="1">
        <f t="shared" si="7"/>
        <v>132.66994801906162</v>
      </c>
      <c r="Q123" s="1" t="e">
        <f t="shared" si="5"/>
        <v>#DIV/0!</v>
      </c>
      <c r="R123" s="1" t="e">
        <f t="shared" si="8"/>
        <v>#DIV/0!</v>
      </c>
      <c r="T123" s="1" t="e">
        <f t="shared" si="6"/>
        <v>#NUM!</v>
      </c>
    </row>
    <row r="124" spans="2:20" x14ac:dyDescent="0.25">
      <c r="B124"/>
      <c r="C124"/>
      <c r="D124"/>
      <c r="E124"/>
      <c r="F124"/>
      <c r="G124"/>
      <c r="H124"/>
      <c r="I124"/>
      <c r="J124"/>
      <c r="K124"/>
      <c r="L124"/>
      <c r="M124"/>
      <c r="N124"/>
      <c r="O124"/>
      <c r="P124" s="1">
        <f t="shared" si="7"/>
        <v>132.66994801906162</v>
      </c>
      <c r="Q124" s="1" t="e">
        <f t="shared" si="5"/>
        <v>#DIV/0!</v>
      </c>
      <c r="R124" s="1" t="e">
        <f t="shared" si="8"/>
        <v>#DIV/0!</v>
      </c>
      <c r="T124" s="1" t="e">
        <f t="shared" si="6"/>
        <v>#NUM!</v>
      </c>
    </row>
    <row r="125" spans="2:20" x14ac:dyDescent="0.25">
      <c r="B125"/>
      <c r="C125"/>
      <c r="D125"/>
      <c r="E125"/>
      <c r="F125"/>
      <c r="G125"/>
      <c r="H125"/>
      <c r="I125"/>
      <c r="J125"/>
      <c r="K125"/>
      <c r="L125"/>
      <c r="M125"/>
      <c r="N125"/>
      <c r="O125"/>
      <c r="P125" s="1">
        <f t="shared" si="7"/>
        <v>132.66994801906162</v>
      </c>
      <c r="Q125" s="1" t="e">
        <f t="shared" si="5"/>
        <v>#DIV/0!</v>
      </c>
      <c r="R125" s="1" t="e">
        <f t="shared" si="8"/>
        <v>#DIV/0!</v>
      </c>
      <c r="T125" s="1" t="e">
        <f t="shared" si="6"/>
        <v>#NUM!</v>
      </c>
    </row>
    <row r="126" spans="2:20" x14ac:dyDescent="0.25">
      <c r="B126"/>
      <c r="C126"/>
      <c r="D126"/>
      <c r="E126"/>
      <c r="F126"/>
      <c r="G126"/>
      <c r="H126"/>
      <c r="I126"/>
      <c r="J126"/>
      <c r="K126"/>
      <c r="L126"/>
      <c r="M126"/>
      <c r="N126"/>
      <c r="O126"/>
      <c r="P126" s="1">
        <f t="shared" si="7"/>
        <v>132.66994801906162</v>
      </c>
      <c r="Q126" s="1" t="e">
        <f t="shared" si="5"/>
        <v>#DIV/0!</v>
      </c>
      <c r="R126" s="1" t="e">
        <f t="shared" si="8"/>
        <v>#DIV/0!</v>
      </c>
      <c r="T126" s="1" t="e">
        <f t="shared" si="6"/>
        <v>#NUM!</v>
      </c>
    </row>
    <row r="127" spans="2:20" x14ac:dyDescent="0.25">
      <c r="B127"/>
      <c r="C127"/>
      <c r="D127"/>
      <c r="E127"/>
      <c r="F127"/>
      <c r="G127"/>
      <c r="H127"/>
      <c r="I127"/>
      <c r="J127"/>
      <c r="K127"/>
      <c r="L127"/>
      <c r="M127"/>
      <c r="N127"/>
      <c r="O127"/>
      <c r="P127" s="1">
        <f t="shared" si="7"/>
        <v>132.66994801906162</v>
      </c>
      <c r="Q127" s="1" t="e">
        <f t="shared" si="5"/>
        <v>#DIV/0!</v>
      </c>
      <c r="R127" s="1" t="e">
        <f t="shared" si="8"/>
        <v>#DIV/0!</v>
      </c>
      <c r="T127" s="1" t="e">
        <f t="shared" si="6"/>
        <v>#NUM!</v>
      </c>
    </row>
    <row r="128" spans="2:20" x14ac:dyDescent="0.25">
      <c r="B128"/>
      <c r="C128"/>
      <c r="D128"/>
      <c r="E128"/>
      <c r="F128"/>
      <c r="G128"/>
      <c r="H128"/>
      <c r="I128"/>
      <c r="J128"/>
      <c r="K128"/>
      <c r="L128"/>
      <c r="M128"/>
      <c r="N128"/>
      <c r="O128"/>
      <c r="P128" s="1">
        <f t="shared" si="7"/>
        <v>132.66994801906162</v>
      </c>
      <c r="Q128" s="1" t="e">
        <f t="shared" si="5"/>
        <v>#DIV/0!</v>
      </c>
      <c r="R128" s="1" t="e">
        <f t="shared" si="8"/>
        <v>#DIV/0!</v>
      </c>
      <c r="T128" s="1" t="e">
        <f t="shared" si="6"/>
        <v>#NUM!</v>
      </c>
    </row>
    <row r="129" spans="2:20" x14ac:dyDescent="0.25">
      <c r="B129"/>
      <c r="C129"/>
      <c r="D129"/>
      <c r="E129"/>
      <c r="F129"/>
      <c r="G129"/>
      <c r="H129"/>
      <c r="I129"/>
      <c r="J129"/>
      <c r="K129"/>
      <c r="L129"/>
      <c r="M129"/>
      <c r="N129"/>
      <c r="O129"/>
      <c r="P129" s="1">
        <f t="shared" si="7"/>
        <v>132.66994801906162</v>
      </c>
      <c r="Q129" s="1" t="e">
        <f t="shared" si="5"/>
        <v>#DIV/0!</v>
      </c>
      <c r="R129" s="1" t="e">
        <f t="shared" si="8"/>
        <v>#DIV/0!</v>
      </c>
      <c r="T129" s="1" t="e">
        <f t="shared" si="6"/>
        <v>#NUM!</v>
      </c>
    </row>
    <row r="130" spans="2:20" x14ac:dyDescent="0.25">
      <c r="B130"/>
      <c r="C130"/>
      <c r="D130"/>
      <c r="E130"/>
      <c r="F130"/>
      <c r="G130"/>
      <c r="H130"/>
      <c r="I130"/>
      <c r="J130"/>
      <c r="K130"/>
      <c r="L130"/>
      <c r="M130"/>
      <c r="N130"/>
      <c r="O130"/>
      <c r="P130" s="1">
        <f t="shared" si="7"/>
        <v>132.66994801906162</v>
      </c>
      <c r="Q130" s="1" t="e">
        <f t="shared" si="5"/>
        <v>#DIV/0!</v>
      </c>
      <c r="R130" s="1" t="e">
        <f t="shared" si="8"/>
        <v>#DIV/0!</v>
      </c>
      <c r="T130" s="1" t="e">
        <f t="shared" si="6"/>
        <v>#NUM!</v>
      </c>
    </row>
    <row r="131" spans="2:20" x14ac:dyDescent="0.25">
      <c r="B131"/>
      <c r="C131"/>
      <c r="D131"/>
      <c r="E131"/>
      <c r="F131"/>
      <c r="G131"/>
      <c r="H131"/>
      <c r="I131"/>
      <c r="J131"/>
      <c r="K131"/>
      <c r="L131"/>
      <c r="M131"/>
      <c r="N131"/>
      <c r="O131"/>
      <c r="P131" s="1">
        <f t="shared" si="7"/>
        <v>132.66994801906162</v>
      </c>
      <c r="Q131" s="1" t="e">
        <f t="shared" si="5"/>
        <v>#DIV/0!</v>
      </c>
      <c r="R131" s="1" t="e">
        <f t="shared" si="8"/>
        <v>#DIV/0!</v>
      </c>
      <c r="T131" s="1" t="e">
        <f t="shared" si="6"/>
        <v>#NUM!</v>
      </c>
    </row>
    <row r="132" spans="2:20" x14ac:dyDescent="0.25">
      <c r="B132"/>
      <c r="C132"/>
      <c r="D132"/>
      <c r="E132"/>
      <c r="F132"/>
      <c r="G132"/>
      <c r="H132"/>
      <c r="I132"/>
      <c r="J132"/>
      <c r="K132"/>
      <c r="L132"/>
      <c r="M132"/>
      <c r="N132"/>
      <c r="O132"/>
      <c r="P132" s="1">
        <f t="shared" si="7"/>
        <v>132.66994801906162</v>
      </c>
      <c r="Q132" s="1" t="e">
        <f t="shared" ref="Q132:Q195" si="10">LOG(SUM(O$3:O$250)/(SUM(O$3:O$250)-P132))/0.0311</f>
        <v>#DIV/0!</v>
      </c>
      <c r="R132" s="1" t="e">
        <f t="shared" si="8"/>
        <v>#DIV/0!</v>
      </c>
      <c r="T132" s="1" t="e">
        <f t="shared" ref="T132:T195" si="11">LOG(O132)</f>
        <v>#NUM!</v>
      </c>
    </row>
    <row r="133" spans="2:20" x14ac:dyDescent="0.25">
      <c r="B133"/>
      <c r="C133"/>
      <c r="D133"/>
      <c r="E133"/>
      <c r="F133"/>
      <c r="G133"/>
      <c r="H133"/>
      <c r="I133"/>
      <c r="J133"/>
      <c r="K133"/>
      <c r="L133"/>
      <c r="M133"/>
      <c r="N133"/>
      <c r="O133"/>
      <c r="P133" s="1">
        <f t="shared" ref="P133:P196" si="12">O133+P132</f>
        <v>132.66994801906162</v>
      </c>
      <c r="Q133" s="1" t="e">
        <f t="shared" si="10"/>
        <v>#DIV/0!</v>
      </c>
      <c r="R133" s="1" t="e">
        <f t="shared" ref="R133:R196" si="13">Q133-Q132</f>
        <v>#DIV/0!</v>
      </c>
      <c r="T133" s="1" t="e">
        <f t="shared" si="11"/>
        <v>#NUM!</v>
      </c>
    </row>
    <row r="134" spans="2:20" x14ac:dyDescent="0.25">
      <c r="B134"/>
      <c r="C134"/>
      <c r="D134"/>
      <c r="E134"/>
      <c r="F134"/>
      <c r="G134"/>
      <c r="H134"/>
      <c r="I134"/>
      <c r="J134"/>
      <c r="K134"/>
      <c r="L134"/>
      <c r="M134"/>
      <c r="N134"/>
      <c r="O134"/>
      <c r="P134" s="1">
        <f t="shared" si="12"/>
        <v>132.66994801906162</v>
      </c>
      <c r="Q134" s="1" t="e">
        <f t="shared" si="10"/>
        <v>#DIV/0!</v>
      </c>
      <c r="R134" s="1" t="e">
        <f t="shared" si="13"/>
        <v>#DIV/0!</v>
      </c>
      <c r="T134" s="1" t="e">
        <f t="shared" si="11"/>
        <v>#NUM!</v>
      </c>
    </row>
    <row r="135" spans="2:20" x14ac:dyDescent="0.25">
      <c r="B135"/>
      <c r="C135"/>
      <c r="D135"/>
      <c r="E135"/>
      <c r="F135"/>
      <c r="G135"/>
      <c r="H135"/>
      <c r="I135"/>
      <c r="J135"/>
      <c r="K135"/>
      <c r="L135"/>
      <c r="M135"/>
      <c r="N135"/>
      <c r="O135"/>
      <c r="P135" s="1">
        <f t="shared" si="12"/>
        <v>132.66994801906162</v>
      </c>
      <c r="Q135" s="1" t="e">
        <f t="shared" si="10"/>
        <v>#DIV/0!</v>
      </c>
      <c r="R135" s="1" t="e">
        <f t="shared" si="13"/>
        <v>#DIV/0!</v>
      </c>
      <c r="T135" s="1" t="e">
        <f t="shared" si="11"/>
        <v>#NUM!</v>
      </c>
    </row>
    <row r="136" spans="2:20" x14ac:dyDescent="0.25">
      <c r="B136"/>
      <c r="C136"/>
      <c r="D136"/>
      <c r="E136"/>
      <c r="F136"/>
      <c r="G136"/>
      <c r="H136"/>
      <c r="I136"/>
      <c r="J136"/>
      <c r="K136"/>
      <c r="L136"/>
      <c r="M136"/>
      <c r="N136"/>
      <c r="O136"/>
      <c r="P136" s="1">
        <f t="shared" si="12"/>
        <v>132.66994801906162</v>
      </c>
      <c r="Q136" s="1" t="e">
        <f t="shared" si="10"/>
        <v>#DIV/0!</v>
      </c>
      <c r="R136" s="1" t="e">
        <f t="shared" si="13"/>
        <v>#DIV/0!</v>
      </c>
      <c r="T136" s="1" t="e">
        <f t="shared" si="11"/>
        <v>#NUM!</v>
      </c>
    </row>
    <row r="137" spans="2:20" x14ac:dyDescent="0.25">
      <c r="B137"/>
      <c r="C137"/>
      <c r="D137"/>
      <c r="E137"/>
      <c r="F137"/>
      <c r="G137"/>
      <c r="H137"/>
      <c r="I137"/>
      <c r="J137"/>
      <c r="K137"/>
      <c r="L137"/>
      <c r="M137"/>
      <c r="N137"/>
      <c r="O137"/>
      <c r="P137" s="1">
        <f t="shared" si="12"/>
        <v>132.66994801906162</v>
      </c>
      <c r="Q137" s="1" t="e">
        <f t="shared" si="10"/>
        <v>#DIV/0!</v>
      </c>
      <c r="R137" s="1" t="e">
        <f t="shared" si="13"/>
        <v>#DIV/0!</v>
      </c>
      <c r="T137" s="1" t="e">
        <f t="shared" si="11"/>
        <v>#NUM!</v>
      </c>
    </row>
    <row r="138" spans="2:20" x14ac:dyDescent="0.25">
      <c r="B138"/>
      <c r="C138"/>
      <c r="D138"/>
      <c r="E138"/>
      <c r="F138"/>
      <c r="G138"/>
      <c r="H138"/>
      <c r="I138"/>
      <c r="J138"/>
      <c r="K138"/>
      <c r="L138"/>
      <c r="M138"/>
      <c r="N138"/>
      <c r="O138"/>
      <c r="P138" s="1">
        <f t="shared" si="12"/>
        <v>132.66994801906162</v>
      </c>
      <c r="Q138" s="1" t="e">
        <f t="shared" si="10"/>
        <v>#DIV/0!</v>
      </c>
      <c r="R138" s="1" t="e">
        <f t="shared" si="13"/>
        <v>#DIV/0!</v>
      </c>
      <c r="T138" s="1" t="e">
        <f t="shared" si="11"/>
        <v>#NUM!</v>
      </c>
    </row>
    <row r="139" spans="2:20" x14ac:dyDescent="0.25">
      <c r="B139"/>
      <c r="C139"/>
      <c r="D139"/>
      <c r="E139"/>
      <c r="F139"/>
      <c r="G139"/>
      <c r="H139"/>
      <c r="I139"/>
      <c r="J139"/>
      <c r="K139"/>
      <c r="L139"/>
      <c r="M139"/>
      <c r="N139"/>
      <c r="O139"/>
      <c r="P139" s="1">
        <f t="shared" si="12"/>
        <v>132.66994801906162</v>
      </c>
      <c r="Q139" s="1" t="e">
        <f t="shared" si="10"/>
        <v>#DIV/0!</v>
      </c>
      <c r="R139" s="1" t="e">
        <f t="shared" si="13"/>
        <v>#DIV/0!</v>
      </c>
      <c r="T139" s="1" t="e">
        <f t="shared" si="11"/>
        <v>#NUM!</v>
      </c>
    </row>
    <row r="140" spans="2:20" x14ac:dyDescent="0.25">
      <c r="B140"/>
      <c r="C140"/>
      <c r="D140"/>
      <c r="E140"/>
      <c r="F140"/>
      <c r="G140"/>
      <c r="H140"/>
      <c r="I140"/>
      <c r="J140"/>
      <c r="K140"/>
      <c r="L140"/>
      <c r="M140"/>
      <c r="N140"/>
      <c r="O140"/>
      <c r="P140" s="1">
        <f t="shared" si="12"/>
        <v>132.66994801906162</v>
      </c>
      <c r="Q140" s="1" t="e">
        <f t="shared" si="10"/>
        <v>#DIV/0!</v>
      </c>
      <c r="R140" s="1" t="e">
        <f t="shared" si="13"/>
        <v>#DIV/0!</v>
      </c>
      <c r="T140" s="1" t="e">
        <f t="shared" si="11"/>
        <v>#NUM!</v>
      </c>
    </row>
    <row r="141" spans="2:20" x14ac:dyDescent="0.25">
      <c r="B141"/>
      <c r="C141"/>
      <c r="D141"/>
      <c r="E141"/>
      <c r="F141"/>
      <c r="G141"/>
      <c r="H141"/>
      <c r="I141"/>
      <c r="J141"/>
      <c r="K141"/>
      <c r="L141"/>
      <c r="M141"/>
      <c r="N141"/>
      <c r="O141"/>
      <c r="P141" s="1">
        <f t="shared" si="12"/>
        <v>132.66994801906162</v>
      </c>
      <c r="Q141" s="1" t="e">
        <f t="shared" si="10"/>
        <v>#DIV/0!</v>
      </c>
      <c r="R141" s="1" t="e">
        <f t="shared" si="13"/>
        <v>#DIV/0!</v>
      </c>
      <c r="T141" s="1" t="e">
        <f t="shared" si="11"/>
        <v>#NUM!</v>
      </c>
    </row>
    <row r="142" spans="2:20" x14ac:dyDescent="0.25">
      <c r="B142"/>
      <c r="C142"/>
      <c r="D142"/>
      <c r="E142"/>
      <c r="F142"/>
      <c r="G142"/>
      <c r="H142"/>
      <c r="I142"/>
      <c r="J142"/>
      <c r="K142"/>
      <c r="L142"/>
      <c r="M142"/>
      <c r="N142"/>
      <c r="O142"/>
      <c r="P142" s="1">
        <f t="shared" si="12"/>
        <v>132.66994801906162</v>
      </c>
      <c r="Q142" s="1" t="e">
        <f t="shared" si="10"/>
        <v>#DIV/0!</v>
      </c>
      <c r="R142" s="1" t="e">
        <f t="shared" si="13"/>
        <v>#DIV/0!</v>
      </c>
      <c r="T142" s="1" t="e">
        <f t="shared" si="11"/>
        <v>#NUM!</v>
      </c>
    </row>
    <row r="143" spans="2:20" x14ac:dyDescent="0.25">
      <c r="B143"/>
      <c r="C143"/>
      <c r="D143"/>
      <c r="E143"/>
      <c r="F143"/>
      <c r="G143"/>
      <c r="H143"/>
      <c r="I143"/>
      <c r="J143"/>
      <c r="K143"/>
      <c r="L143"/>
      <c r="M143"/>
      <c r="N143"/>
      <c r="O143"/>
      <c r="P143" s="1">
        <f t="shared" si="12"/>
        <v>132.66994801906162</v>
      </c>
      <c r="Q143" s="1" t="e">
        <f t="shared" si="10"/>
        <v>#DIV/0!</v>
      </c>
      <c r="R143" s="1" t="e">
        <f t="shared" si="13"/>
        <v>#DIV/0!</v>
      </c>
      <c r="T143" s="1" t="e">
        <f t="shared" si="11"/>
        <v>#NUM!</v>
      </c>
    </row>
    <row r="144" spans="2:20" x14ac:dyDescent="0.25">
      <c r="B144"/>
      <c r="C144"/>
      <c r="D144"/>
      <c r="E144"/>
      <c r="F144"/>
      <c r="G144"/>
      <c r="H144"/>
      <c r="I144"/>
      <c r="J144"/>
      <c r="K144"/>
      <c r="L144"/>
      <c r="M144"/>
      <c r="N144"/>
      <c r="O144"/>
      <c r="P144" s="1">
        <f t="shared" si="12"/>
        <v>132.66994801906162</v>
      </c>
      <c r="Q144" s="1" t="e">
        <f t="shared" si="10"/>
        <v>#DIV/0!</v>
      </c>
      <c r="R144" s="1" t="e">
        <f t="shared" si="13"/>
        <v>#DIV/0!</v>
      </c>
      <c r="T144" s="1" t="e">
        <f t="shared" si="11"/>
        <v>#NUM!</v>
      </c>
    </row>
    <row r="145" spans="2:20" x14ac:dyDescent="0.25">
      <c r="B145"/>
      <c r="C145"/>
      <c r="D145"/>
      <c r="E145"/>
      <c r="F145"/>
      <c r="G145"/>
      <c r="H145"/>
      <c r="I145"/>
      <c r="J145"/>
      <c r="K145"/>
      <c r="L145"/>
      <c r="M145"/>
      <c r="N145"/>
      <c r="O145"/>
      <c r="P145" s="1">
        <f t="shared" si="12"/>
        <v>132.66994801906162</v>
      </c>
      <c r="Q145" s="1" t="e">
        <f t="shared" si="10"/>
        <v>#DIV/0!</v>
      </c>
      <c r="R145" s="1" t="e">
        <f t="shared" si="13"/>
        <v>#DIV/0!</v>
      </c>
      <c r="T145" s="1" t="e">
        <f t="shared" si="11"/>
        <v>#NUM!</v>
      </c>
    </row>
    <row r="146" spans="2:20" x14ac:dyDescent="0.25">
      <c r="B146"/>
      <c r="C146"/>
      <c r="D146"/>
      <c r="E146"/>
      <c r="F146"/>
      <c r="G146"/>
      <c r="H146"/>
      <c r="I146"/>
      <c r="J146"/>
      <c r="K146"/>
      <c r="L146"/>
      <c r="M146"/>
      <c r="N146"/>
      <c r="O146"/>
      <c r="P146" s="1">
        <f t="shared" si="12"/>
        <v>132.66994801906162</v>
      </c>
      <c r="Q146" s="1" t="e">
        <f t="shared" si="10"/>
        <v>#DIV/0!</v>
      </c>
      <c r="R146" s="1" t="e">
        <f t="shared" si="13"/>
        <v>#DIV/0!</v>
      </c>
      <c r="T146" s="1" t="e">
        <f t="shared" si="11"/>
        <v>#NUM!</v>
      </c>
    </row>
    <row r="147" spans="2:20" x14ac:dyDescent="0.25">
      <c r="B147"/>
      <c r="C147"/>
      <c r="D147"/>
      <c r="E147"/>
      <c r="F147"/>
      <c r="G147"/>
      <c r="H147"/>
      <c r="I147"/>
      <c r="J147"/>
      <c r="K147"/>
      <c r="L147"/>
      <c r="M147"/>
      <c r="N147"/>
      <c r="O147"/>
      <c r="P147" s="1">
        <f t="shared" si="12"/>
        <v>132.66994801906162</v>
      </c>
      <c r="Q147" s="1" t="e">
        <f t="shared" si="10"/>
        <v>#DIV/0!</v>
      </c>
      <c r="R147" s="1" t="e">
        <f t="shared" si="13"/>
        <v>#DIV/0!</v>
      </c>
      <c r="T147" s="1" t="e">
        <f t="shared" si="11"/>
        <v>#NUM!</v>
      </c>
    </row>
    <row r="148" spans="2:20" x14ac:dyDescent="0.25">
      <c r="B148"/>
      <c r="C148"/>
      <c r="D148"/>
      <c r="E148"/>
      <c r="F148"/>
      <c r="G148"/>
      <c r="H148"/>
      <c r="I148"/>
      <c r="J148"/>
      <c r="K148"/>
      <c r="L148"/>
      <c r="M148"/>
      <c r="N148"/>
      <c r="O148"/>
      <c r="P148" s="1">
        <f t="shared" si="12"/>
        <v>132.66994801906162</v>
      </c>
      <c r="Q148" s="1" t="e">
        <f t="shared" si="10"/>
        <v>#DIV/0!</v>
      </c>
      <c r="R148" s="1" t="e">
        <f t="shared" si="13"/>
        <v>#DIV/0!</v>
      </c>
      <c r="T148" s="1" t="e">
        <f t="shared" si="11"/>
        <v>#NUM!</v>
      </c>
    </row>
    <row r="149" spans="2:20" x14ac:dyDescent="0.25">
      <c r="B149"/>
      <c r="C149"/>
      <c r="D149"/>
      <c r="E149"/>
      <c r="F149"/>
      <c r="G149"/>
      <c r="H149"/>
      <c r="I149"/>
      <c r="J149"/>
      <c r="K149"/>
      <c r="L149"/>
      <c r="M149"/>
      <c r="N149"/>
      <c r="O149"/>
      <c r="P149" s="1">
        <f t="shared" si="12"/>
        <v>132.66994801906162</v>
      </c>
      <c r="Q149" s="1" t="e">
        <f t="shared" si="10"/>
        <v>#DIV/0!</v>
      </c>
      <c r="R149" s="1" t="e">
        <f t="shared" si="13"/>
        <v>#DIV/0!</v>
      </c>
      <c r="T149" s="1" t="e">
        <f t="shared" si="11"/>
        <v>#NUM!</v>
      </c>
    </row>
    <row r="150" spans="2:20" x14ac:dyDescent="0.25">
      <c r="B150"/>
      <c r="C150"/>
      <c r="D150"/>
      <c r="E150"/>
      <c r="F150"/>
      <c r="G150"/>
      <c r="H150"/>
      <c r="I150"/>
      <c r="J150"/>
      <c r="K150"/>
      <c r="L150"/>
      <c r="M150"/>
      <c r="N150"/>
      <c r="O150"/>
      <c r="P150" s="1">
        <f t="shared" si="12"/>
        <v>132.66994801906162</v>
      </c>
      <c r="Q150" s="1" t="e">
        <f t="shared" si="10"/>
        <v>#DIV/0!</v>
      </c>
      <c r="R150" s="1" t="e">
        <f t="shared" si="13"/>
        <v>#DIV/0!</v>
      </c>
      <c r="T150" s="1" t="e">
        <f t="shared" si="11"/>
        <v>#NUM!</v>
      </c>
    </row>
    <row r="151" spans="2:20" x14ac:dyDescent="0.25">
      <c r="B151"/>
      <c r="C151"/>
      <c r="D151"/>
      <c r="E151"/>
      <c r="F151"/>
      <c r="G151"/>
      <c r="H151"/>
      <c r="I151"/>
      <c r="J151"/>
      <c r="K151"/>
      <c r="L151"/>
      <c r="M151"/>
      <c r="N151"/>
      <c r="O151"/>
      <c r="P151" s="1">
        <f t="shared" si="12"/>
        <v>132.66994801906162</v>
      </c>
      <c r="Q151" s="1" t="e">
        <f t="shared" si="10"/>
        <v>#DIV/0!</v>
      </c>
      <c r="R151" s="1" t="e">
        <f t="shared" si="13"/>
        <v>#DIV/0!</v>
      </c>
      <c r="T151" s="1" t="e">
        <f t="shared" si="11"/>
        <v>#NUM!</v>
      </c>
    </row>
    <row r="152" spans="2:20" x14ac:dyDescent="0.25">
      <c r="B152"/>
      <c r="C152"/>
      <c r="D152"/>
      <c r="E152"/>
      <c r="F152"/>
      <c r="G152"/>
      <c r="H152"/>
      <c r="I152"/>
      <c r="J152"/>
      <c r="K152"/>
      <c r="L152"/>
      <c r="M152"/>
      <c r="N152"/>
      <c r="O152"/>
      <c r="P152" s="1">
        <f t="shared" si="12"/>
        <v>132.66994801906162</v>
      </c>
      <c r="Q152" s="1" t="e">
        <f t="shared" si="10"/>
        <v>#DIV/0!</v>
      </c>
      <c r="R152" s="1" t="e">
        <f t="shared" si="13"/>
        <v>#DIV/0!</v>
      </c>
      <c r="T152" s="1" t="e">
        <f t="shared" si="11"/>
        <v>#NUM!</v>
      </c>
    </row>
    <row r="153" spans="2:20" x14ac:dyDescent="0.25">
      <c r="B153"/>
      <c r="C153"/>
      <c r="D153"/>
      <c r="E153"/>
      <c r="F153"/>
      <c r="G153"/>
      <c r="H153"/>
      <c r="I153"/>
      <c r="J153"/>
      <c r="K153"/>
      <c r="L153"/>
      <c r="M153"/>
      <c r="N153"/>
      <c r="O153"/>
      <c r="P153" s="1">
        <f t="shared" si="12"/>
        <v>132.66994801906162</v>
      </c>
      <c r="Q153" s="1" t="e">
        <f t="shared" si="10"/>
        <v>#DIV/0!</v>
      </c>
      <c r="R153" s="1" t="e">
        <f t="shared" si="13"/>
        <v>#DIV/0!</v>
      </c>
      <c r="T153" s="1" t="e">
        <f t="shared" si="11"/>
        <v>#NUM!</v>
      </c>
    </row>
    <row r="154" spans="2:20" x14ac:dyDescent="0.25">
      <c r="B154"/>
      <c r="C154"/>
      <c r="D154"/>
      <c r="E154"/>
      <c r="F154"/>
      <c r="G154"/>
      <c r="H154"/>
      <c r="I154"/>
      <c r="J154"/>
      <c r="K154"/>
      <c r="L154"/>
      <c r="M154"/>
      <c r="N154"/>
      <c r="O154"/>
      <c r="P154" s="1">
        <f t="shared" si="12"/>
        <v>132.66994801906162</v>
      </c>
      <c r="Q154" s="1" t="e">
        <f t="shared" si="10"/>
        <v>#DIV/0!</v>
      </c>
      <c r="R154" s="1" t="e">
        <f t="shared" si="13"/>
        <v>#DIV/0!</v>
      </c>
      <c r="T154" s="1" t="e">
        <f t="shared" si="11"/>
        <v>#NUM!</v>
      </c>
    </row>
    <row r="155" spans="2:20" x14ac:dyDescent="0.25">
      <c r="B155"/>
      <c r="C155"/>
      <c r="D155"/>
      <c r="E155"/>
      <c r="F155"/>
      <c r="G155"/>
      <c r="H155"/>
      <c r="I155"/>
      <c r="J155"/>
      <c r="K155"/>
      <c r="L155"/>
      <c r="M155"/>
      <c r="N155"/>
      <c r="O155"/>
      <c r="P155" s="1">
        <f t="shared" si="12"/>
        <v>132.66994801906162</v>
      </c>
      <c r="Q155" s="1" t="e">
        <f t="shared" si="10"/>
        <v>#DIV/0!</v>
      </c>
      <c r="R155" s="1" t="e">
        <f t="shared" si="13"/>
        <v>#DIV/0!</v>
      </c>
      <c r="T155" s="1" t="e">
        <f t="shared" si="11"/>
        <v>#NUM!</v>
      </c>
    </row>
    <row r="156" spans="2:20" x14ac:dyDescent="0.25">
      <c r="B156"/>
      <c r="C156"/>
      <c r="D156"/>
      <c r="E156"/>
      <c r="F156"/>
      <c r="G156"/>
      <c r="H156"/>
      <c r="I156"/>
      <c r="J156"/>
      <c r="K156"/>
      <c r="L156"/>
      <c r="M156"/>
      <c r="N156"/>
      <c r="O156"/>
      <c r="P156" s="1">
        <f t="shared" si="12"/>
        <v>132.66994801906162</v>
      </c>
      <c r="Q156" s="1" t="e">
        <f t="shared" si="10"/>
        <v>#DIV/0!</v>
      </c>
      <c r="R156" s="1" t="e">
        <f t="shared" si="13"/>
        <v>#DIV/0!</v>
      </c>
      <c r="T156" s="1" t="e">
        <f t="shared" si="11"/>
        <v>#NUM!</v>
      </c>
    </row>
    <row r="157" spans="2:20" x14ac:dyDescent="0.25">
      <c r="B157"/>
      <c r="C157"/>
      <c r="D157"/>
      <c r="E157"/>
      <c r="F157"/>
      <c r="G157"/>
      <c r="H157"/>
      <c r="I157"/>
      <c r="J157"/>
      <c r="K157"/>
      <c r="L157"/>
      <c r="M157"/>
      <c r="N157"/>
      <c r="O157"/>
      <c r="P157" s="1">
        <f t="shared" si="12"/>
        <v>132.66994801906162</v>
      </c>
      <c r="Q157" s="1" t="e">
        <f t="shared" si="10"/>
        <v>#DIV/0!</v>
      </c>
      <c r="R157" s="1" t="e">
        <f t="shared" si="13"/>
        <v>#DIV/0!</v>
      </c>
      <c r="T157" s="1" t="e">
        <f t="shared" si="11"/>
        <v>#NUM!</v>
      </c>
    </row>
    <row r="158" spans="2:20" x14ac:dyDescent="0.25">
      <c r="B158"/>
      <c r="C158"/>
      <c r="D158"/>
      <c r="E158"/>
      <c r="F158"/>
      <c r="G158"/>
      <c r="H158"/>
      <c r="I158"/>
      <c r="J158"/>
      <c r="K158"/>
      <c r="L158"/>
      <c r="M158"/>
      <c r="N158"/>
      <c r="O158"/>
      <c r="P158" s="1">
        <f t="shared" si="12"/>
        <v>132.66994801906162</v>
      </c>
      <c r="Q158" s="1" t="e">
        <f t="shared" si="10"/>
        <v>#DIV/0!</v>
      </c>
      <c r="R158" s="1" t="e">
        <f t="shared" si="13"/>
        <v>#DIV/0!</v>
      </c>
      <c r="T158" s="1" t="e">
        <f t="shared" si="11"/>
        <v>#NUM!</v>
      </c>
    </row>
    <row r="159" spans="2:20" x14ac:dyDescent="0.25">
      <c r="B159"/>
      <c r="C159"/>
      <c r="D159"/>
      <c r="E159"/>
      <c r="F159"/>
      <c r="G159"/>
      <c r="H159"/>
      <c r="I159"/>
      <c r="J159"/>
      <c r="K159"/>
      <c r="L159"/>
      <c r="M159"/>
      <c r="N159"/>
      <c r="O159"/>
      <c r="P159" s="1">
        <f t="shared" si="12"/>
        <v>132.66994801906162</v>
      </c>
      <c r="Q159" s="1" t="e">
        <f t="shared" si="10"/>
        <v>#DIV/0!</v>
      </c>
      <c r="R159" s="1" t="e">
        <f t="shared" si="13"/>
        <v>#DIV/0!</v>
      </c>
      <c r="T159" s="1" t="e">
        <f t="shared" si="11"/>
        <v>#NUM!</v>
      </c>
    </row>
    <row r="160" spans="2:20" x14ac:dyDescent="0.25">
      <c r="B160"/>
      <c r="C160"/>
      <c r="D160"/>
      <c r="E160"/>
      <c r="F160"/>
      <c r="G160"/>
      <c r="H160"/>
      <c r="I160"/>
      <c r="J160"/>
      <c r="K160"/>
      <c r="L160"/>
      <c r="M160"/>
      <c r="N160"/>
      <c r="O160"/>
      <c r="P160" s="1">
        <f t="shared" si="12"/>
        <v>132.66994801906162</v>
      </c>
      <c r="Q160" s="1" t="e">
        <f t="shared" si="10"/>
        <v>#DIV/0!</v>
      </c>
      <c r="R160" s="1" t="e">
        <f t="shared" si="13"/>
        <v>#DIV/0!</v>
      </c>
      <c r="T160" s="1" t="e">
        <f t="shared" si="11"/>
        <v>#NUM!</v>
      </c>
    </row>
    <row r="161" spans="2:20" x14ac:dyDescent="0.25">
      <c r="B161"/>
      <c r="C161"/>
      <c r="D161"/>
      <c r="E161"/>
      <c r="F161"/>
      <c r="G161"/>
      <c r="H161"/>
      <c r="I161"/>
      <c r="J161"/>
      <c r="K161"/>
      <c r="L161"/>
      <c r="M161"/>
      <c r="N161"/>
      <c r="O161"/>
      <c r="P161" s="1">
        <f t="shared" si="12"/>
        <v>132.66994801906162</v>
      </c>
      <c r="Q161" s="1" t="e">
        <f t="shared" si="10"/>
        <v>#DIV/0!</v>
      </c>
      <c r="R161" s="1" t="e">
        <f t="shared" si="13"/>
        <v>#DIV/0!</v>
      </c>
      <c r="T161" s="1" t="e">
        <f t="shared" si="11"/>
        <v>#NUM!</v>
      </c>
    </row>
    <row r="162" spans="2:20" x14ac:dyDescent="0.25">
      <c r="B162"/>
      <c r="C162"/>
      <c r="D162"/>
      <c r="E162"/>
      <c r="F162"/>
      <c r="G162"/>
      <c r="H162"/>
      <c r="I162"/>
      <c r="J162"/>
      <c r="K162"/>
      <c r="L162"/>
      <c r="M162"/>
      <c r="N162"/>
      <c r="O162"/>
      <c r="P162" s="1">
        <f t="shared" si="12"/>
        <v>132.66994801906162</v>
      </c>
      <c r="Q162" s="1" t="e">
        <f t="shared" si="10"/>
        <v>#DIV/0!</v>
      </c>
      <c r="R162" s="1" t="e">
        <f t="shared" si="13"/>
        <v>#DIV/0!</v>
      </c>
      <c r="T162" s="1" t="e">
        <f t="shared" si="11"/>
        <v>#NUM!</v>
      </c>
    </row>
    <row r="163" spans="2:20" x14ac:dyDescent="0.25">
      <c r="B163"/>
      <c r="C163"/>
      <c r="D163"/>
      <c r="E163"/>
      <c r="F163"/>
      <c r="G163"/>
      <c r="H163"/>
      <c r="I163"/>
      <c r="J163"/>
      <c r="K163"/>
      <c r="L163"/>
      <c r="M163"/>
      <c r="N163"/>
      <c r="O163"/>
      <c r="P163" s="1">
        <f t="shared" si="12"/>
        <v>132.66994801906162</v>
      </c>
      <c r="Q163" s="1" t="e">
        <f t="shared" si="10"/>
        <v>#DIV/0!</v>
      </c>
      <c r="R163" s="1" t="e">
        <f t="shared" si="13"/>
        <v>#DIV/0!</v>
      </c>
      <c r="T163" s="1" t="e">
        <f t="shared" si="11"/>
        <v>#NUM!</v>
      </c>
    </row>
    <row r="164" spans="2:20" x14ac:dyDescent="0.25">
      <c r="B164"/>
      <c r="C164"/>
      <c r="D164"/>
      <c r="E164"/>
      <c r="F164"/>
      <c r="G164"/>
      <c r="H164"/>
      <c r="I164"/>
      <c r="J164"/>
      <c r="K164"/>
      <c r="L164"/>
      <c r="M164"/>
      <c r="N164"/>
      <c r="O164"/>
      <c r="P164" s="1">
        <f t="shared" si="12"/>
        <v>132.66994801906162</v>
      </c>
      <c r="Q164" s="1" t="e">
        <f t="shared" si="10"/>
        <v>#DIV/0!</v>
      </c>
      <c r="R164" s="1" t="e">
        <f t="shared" si="13"/>
        <v>#DIV/0!</v>
      </c>
      <c r="T164" s="1" t="e">
        <f t="shared" si="11"/>
        <v>#NUM!</v>
      </c>
    </row>
    <row r="165" spans="2:20" x14ac:dyDescent="0.25">
      <c r="B165"/>
      <c r="C165"/>
      <c r="D165"/>
      <c r="E165"/>
      <c r="F165"/>
      <c r="G165"/>
      <c r="H165"/>
      <c r="I165"/>
      <c r="J165"/>
      <c r="K165"/>
      <c r="L165"/>
      <c r="M165"/>
      <c r="N165"/>
      <c r="O165"/>
      <c r="P165" s="1">
        <f t="shared" si="12"/>
        <v>132.66994801906162</v>
      </c>
      <c r="Q165" s="1" t="e">
        <f t="shared" si="10"/>
        <v>#DIV/0!</v>
      </c>
      <c r="R165" s="1" t="e">
        <f t="shared" si="13"/>
        <v>#DIV/0!</v>
      </c>
      <c r="T165" s="1" t="e">
        <f t="shared" si="11"/>
        <v>#NUM!</v>
      </c>
    </row>
    <row r="166" spans="2:20" x14ac:dyDescent="0.25">
      <c r="B166"/>
      <c r="C166"/>
      <c r="D166"/>
      <c r="E166"/>
      <c r="F166"/>
      <c r="G166"/>
      <c r="H166"/>
      <c r="I166"/>
      <c r="J166"/>
      <c r="K166"/>
      <c r="L166"/>
      <c r="M166"/>
      <c r="N166"/>
      <c r="O166"/>
      <c r="P166" s="1">
        <f t="shared" si="12"/>
        <v>132.66994801906162</v>
      </c>
      <c r="Q166" s="1" t="e">
        <f t="shared" si="10"/>
        <v>#DIV/0!</v>
      </c>
      <c r="R166" s="1" t="e">
        <f t="shared" si="13"/>
        <v>#DIV/0!</v>
      </c>
      <c r="T166" s="1" t="e">
        <f t="shared" si="11"/>
        <v>#NUM!</v>
      </c>
    </row>
    <row r="167" spans="2:20" x14ac:dyDescent="0.25">
      <c r="B167"/>
      <c r="C167"/>
      <c r="D167"/>
      <c r="E167"/>
      <c r="F167"/>
      <c r="G167"/>
      <c r="H167"/>
      <c r="I167"/>
      <c r="J167"/>
      <c r="K167"/>
      <c r="L167"/>
      <c r="M167"/>
      <c r="N167"/>
      <c r="O167"/>
      <c r="P167" s="1">
        <f t="shared" si="12"/>
        <v>132.66994801906162</v>
      </c>
      <c r="Q167" s="1" t="e">
        <f t="shared" si="10"/>
        <v>#DIV/0!</v>
      </c>
      <c r="R167" s="1" t="e">
        <f t="shared" si="13"/>
        <v>#DIV/0!</v>
      </c>
      <c r="T167" s="1" t="e">
        <f t="shared" si="11"/>
        <v>#NUM!</v>
      </c>
    </row>
    <row r="168" spans="2:20" x14ac:dyDescent="0.25">
      <c r="B168"/>
      <c r="C168"/>
      <c r="D168"/>
      <c r="E168"/>
      <c r="F168"/>
      <c r="G168"/>
      <c r="H168"/>
      <c r="I168"/>
      <c r="J168"/>
      <c r="K168"/>
      <c r="L168"/>
      <c r="M168"/>
      <c r="N168"/>
      <c r="O168"/>
      <c r="P168" s="1">
        <f t="shared" si="12"/>
        <v>132.66994801906162</v>
      </c>
      <c r="Q168" s="1" t="e">
        <f t="shared" si="10"/>
        <v>#DIV/0!</v>
      </c>
      <c r="R168" s="1" t="e">
        <f t="shared" si="13"/>
        <v>#DIV/0!</v>
      </c>
      <c r="T168" s="1" t="e">
        <f t="shared" si="11"/>
        <v>#NUM!</v>
      </c>
    </row>
    <row r="169" spans="2:20" x14ac:dyDescent="0.25">
      <c r="B169"/>
      <c r="C169"/>
      <c r="D169"/>
      <c r="E169"/>
      <c r="F169"/>
      <c r="G169"/>
      <c r="H169"/>
      <c r="I169"/>
      <c r="J169"/>
      <c r="K169"/>
      <c r="L169"/>
      <c r="M169"/>
      <c r="N169"/>
      <c r="O169"/>
      <c r="P169" s="1">
        <f t="shared" si="12"/>
        <v>132.66994801906162</v>
      </c>
      <c r="Q169" s="1" t="e">
        <f t="shared" si="10"/>
        <v>#DIV/0!</v>
      </c>
      <c r="R169" s="1" t="e">
        <f t="shared" si="13"/>
        <v>#DIV/0!</v>
      </c>
      <c r="T169" s="1" t="e">
        <f t="shared" si="11"/>
        <v>#NUM!</v>
      </c>
    </row>
    <row r="170" spans="2:20" x14ac:dyDescent="0.25">
      <c r="B170"/>
      <c r="C170"/>
      <c r="D170"/>
      <c r="E170"/>
      <c r="F170"/>
      <c r="G170"/>
      <c r="H170"/>
      <c r="I170"/>
      <c r="J170"/>
      <c r="K170"/>
      <c r="L170"/>
      <c r="M170"/>
      <c r="N170"/>
      <c r="O170"/>
      <c r="P170" s="1">
        <f t="shared" si="12"/>
        <v>132.66994801906162</v>
      </c>
      <c r="Q170" s="1" t="e">
        <f t="shared" si="10"/>
        <v>#DIV/0!</v>
      </c>
      <c r="R170" s="1" t="e">
        <f t="shared" si="13"/>
        <v>#DIV/0!</v>
      </c>
      <c r="T170" s="1" t="e">
        <f t="shared" si="11"/>
        <v>#NUM!</v>
      </c>
    </row>
    <row r="171" spans="2:20" x14ac:dyDescent="0.25">
      <c r="B171"/>
      <c r="C171"/>
      <c r="D171"/>
      <c r="E171"/>
      <c r="F171"/>
      <c r="G171"/>
      <c r="H171"/>
      <c r="I171"/>
      <c r="J171"/>
      <c r="K171"/>
      <c r="L171"/>
      <c r="M171"/>
      <c r="N171"/>
      <c r="O171"/>
      <c r="P171" s="1">
        <f t="shared" si="12"/>
        <v>132.66994801906162</v>
      </c>
      <c r="Q171" s="1" t="e">
        <f t="shared" si="10"/>
        <v>#DIV/0!</v>
      </c>
      <c r="R171" s="1" t="e">
        <f t="shared" si="13"/>
        <v>#DIV/0!</v>
      </c>
      <c r="T171" s="1" t="e">
        <f t="shared" si="11"/>
        <v>#NUM!</v>
      </c>
    </row>
    <row r="172" spans="2:20" x14ac:dyDescent="0.25">
      <c r="B172"/>
      <c r="C172"/>
      <c r="D172"/>
      <c r="E172"/>
      <c r="F172"/>
      <c r="G172"/>
      <c r="H172"/>
      <c r="I172"/>
      <c r="J172"/>
      <c r="K172"/>
      <c r="L172"/>
      <c r="M172"/>
      <c r="N172"/>
      <c r="O172"/>
      <c r="P172" s="1">
        <f t="shared" si="12"/>
        <v>132.66994801906162</v>
      </c>
      <c r="Q172" s="1" t="e">
        <f t="shared" si="10"/>
        <v>#DIV/0!</v>
      </c>
      <c r="R172" s="1" t="e">
        <f t="shared" si="13"/>
        <v>#DIV/0!</v>
      </c>
      <c r="T172" s="1" t="e">
        <f t="shared" si="11"/>
        <v>#NUM!</v>
      </c>
    </row>
    <row r="173" spans="2:20" x14ac:dyDescent="0.25">
      <c r="B173"/>
      <c r="C173"/>
      <c r="D173"/>
      <c r="E173"/>
      <c r="F173"/>
      <c r="G173"/>
      <c r="H173"/>
      <c r="I173"/>
      <c r="J173"/>
      <c r="K173"/>
      <c r="L173"/>
      <c r="M173"/>
      <c r="N173"/>
      <c r="O173"/>
      <c r="P173" s="1">
        <f t="shared" si="12"/>
        <v>132.66994801906162</v>
      </c>
      <c r="Q173" s="1" t="e">
        <f t="shared" si="10"/>
        <v>#DIV/0!</v>
      </c>
      <c r="R173" s="1" t="e">
        <f t="shared" si="13"/>
        <v>#DIV/0!</v>
      </c>
      <c r="T173" s="1" t="e">
        <f t="shared" si="11"/>
        <v>#NUM!</v>
      </c>
    </row>
    <row r="174" spans="2:20" x14ac:dyDescent="0.25">
      <c r="B174"/>
      <c r="C174"/>
      <c r="D174"/>
      <c r="E174"/>
      <c r="F174"/>
      <c r="G174"/>
      <c r="H174"/>
      <c r="I174"/>
      <c r="J174"/>
      <c r="K174"/>
      <c r="L174"/>
      <c r="M174"/>
      <c r="N174"/>
      <c r="O174"/>
      <c r="P174" s="1">
        <f t="shared" si="12"/>
        <v>132.66994801906162</v>
      </c>
      <c r="Q174" s="1" t="e">
        <f t="shared" si="10"/>
        <v>#DIV/0!</v>
      </c>
      <c r="R174" s="1" t="e">
        <f t="shared" si="13"/>
        <v>#DIV/0!</v>
      </c>
      <c r="T174" s="1" t="e">
        <f t="shared" si="11"/>
        <v>#NUM!</v>
      </c>
    </row>
    <row r="175" spans="2:20" x14ac:dyDescent="0.25">
      <c r="B175"/>
      <c r="C175"/>
      <c r="D175"/>
      <c r="E175"/>
      <c r="F175"/>
      <c r="G175"/>
      <c r="H175"/>
      <c r="I175"/>
      <c r="J175"/>
      <c r="K175"/>
      <c r="L175"/>
      <c r="M175"/>
      <c r="N175"/>
      <c r="O175"/>
      <c r="P175" s="1">
        <f t="shared" si="12"/>
        <v>132.66994801906162</v>
      </c>
      <c r="Q175" s="1" t="e">
        <f t="shared" si="10"/>
        <v>#DIV/0!</v>
      </c>
      <c r="R175" s="1" t="e">
        <f t="shared" si="13"/>
        <v>#DIV/0!</v>
      </c>
      <c r="T175" s="1" t="e">
        <f t="shared" si="11"/>
        <v>#NUM!</v>
      </c>
    </row>
    <row r="176" spans="2:20" x14ac:dyDescent="0.25">
      <c r="B176"/>
      <c r="C176"/>
      <c r="D176"/>
      <c r="E176"/>
      <c r="F176"/>
      <c r="G176"/>
      <c r="H176"/>
      <c r="I176"/>
      <c r="J176"/>
      <c r="K176"/>
      <c r="L176"/>
      <c r="M176"/>
      <c r="N176"/>
      <c r="O176"/>
      <c r="P176" s="1">
        <f t="shared" si="12"/>
        <v>132.66994801906162</v>
      </c>
      <c r="Q176" s="1" t="e">
        <f t="shared" si="10"/>
        <v>#DIV/0!</v>
      </c>
      <c r="R176" s="1" t="e">
        <f t="shared" si="13"/>
        <v>#DIV/0!</v>
      </c>
      <c r="T176" s="1" t="e">
        <f t="shared" si="11"/>
        <v>#NUM!</v>
      </c>
    </row>
    <row r="177" spans="2:20" x14ac:dyDescent="0.25">
      <c r="B177"/>
      <c r="C177"/>
      <c r="D177"/>
      <c r="E177"/>
      <c r="F177"/>
      <c r="G177"/>
      <c r="H177"/>
      <c r="I177"/>
      <c r="J177"/>
      <c r="K177"/>
      <c r="L177"/>
      <c r="M177"/>
      <c r="N177"/>
      <c r="O177"/>
      <c r="P177" s="1">
        <f t="shared" si="12"/>
        <v>132.66994801906162</v>
      </c>
      <c r="Q177" s="1" t="e">
        <f t="shared" si="10"/>
        <v>#DIV/0!</v>
      </c>
      <c r="R177" s="1" t="e">
        <f t="shared" si="13"/>
        <v>#DIV/0!</v>
      </c>
      <c r="T177" s="1" t="e">
        <f t="shared" si="11"/>
        <v>#NUM!</v>
      </c>
    </row>
    <row r="178" spans="2:20" x14ac:dyDescent="0.25">
      <c r="B178"/>
      <c r="C178"/>
      <c r="D178"/>
      <c r="E178"/>
      <c r="F178"/>
      <c r="G178"/>
      <c r="H178"/>
      <c r="I178"/>
      <c r="J178"/>
      <c r="K178"/>
      <c r="L178"/>
      <c r="M178"/>
      <c r="N178"/>
      <c r="O178"/>
      <c r="P178" s="1">
        <f t="shared" si="12"/>
        <v>132.66994801906162</v>
      </c>
      <c r="Q178" s="1" t="e">
        <f t="shared" si="10"/>
        <v>#DIV/0!</v>
      </c>
      <c r="R178" s="1" t="e">
        <f t="shared" si="13"/>
        <v>#DIV/0!</v>
      </c>
      <c r="T178" s="1" t="e">
        <f t="shared" si="11"/>
        <v>#NUM!</v>
      </c>
    </row>
    <row r="179" spans="2:20" x14ac:dyDescent="0.25">
      <c r="B179"/>
      <c r="C179"/>
      <c r="D179"/>
      <c r="E179"/>
      <c r="F179"/>
      <c r="G179"/>
      <c r="H179"/>
      <c r="I179"/>
      <c r="J179"/>
      <c r="K179"/>
      <c r="L179"/>
      <c r="M179"/>
      <c r="N179"/>
      <c r="O179"/>
      <c r="P179" s="1">
        <f t="shared" si="12"/>
        <v>132.66994801906162</v>
      </c>
      <c r="Q179" s="1" t="e">
        <f t="shared" si="10"/>
        <v>#DIV/0!</v>
      </c>
      <c r="R179" s="1" t="e">
        <f t="shared" si="13"/>
        <v>#DIV/0!</v>
      </c>
      <c r="T179" s="1" t="e">
        <f t="shared" si="11"/>
        <v>#NUM!</v>
      </c>
    </row>
    <row r="180" spans="2:20" x14ac:dyDescent="0.25">
      <c r="B180"/>
      <c r="C180"/>
      <c r="D180"/>
      <c r="E180"/>
      <c r="F180"/>
      <c r="G180"/>
      <c r="H180"/>
      <c r="I180"/>
      <c r="J180"/>
      <c r="K180"/>
      <c r="L180"/>
      <c r="M180"/>
      <c r="N180"/>
      <c r="O180"/>
      <c r="P180" s="1">
        <f t="shared" si="12"/>
        <v>132.66994801906162</v>
      </c>
      <c r="Q180" s="1" t="e">
        <f t="shared" si="10"/>
        <v>#DIV/0!</v>
      </c>
      <c r="R180" s="1" t="e">
        <f t="shared" si="13"/>
        <v>#DIV/0!</v>
      </c>
      <c r="T180" s="1" t="e">
        <f t="shared" si="11"/>
        <v>#NUM!</v>
      </c>
    </row>
    <row r="181" spans="2:20" x14ac:dyDescent="0.25">
      <c r="B181"/>
      <c r="C181"/>
      <c r="D181"/>
      <c r="E181"/>
      <c r="F181"/>
      <c r="G181"/>
      <c r="H181"/>
      <c r="I181"/>
      <c r="J181"/>
      <c r="K181"/>
      <c r="L181"/>
      <c r="M181"/>
      <c r="N181"/>
      <c r="O181"/>
      <c r="P181" s="1">
        <f t="shared" si="12"/>
        <v>132.66994801906162</v>
      </c>
      <c r="Q181" s="1" t="e">
        <f t="shared" si="10"/>
        <v>#DIV/0!</v>
      </c>
      <c r="R181" s="1" t="e">
        <f t="shared" si="13"/>
        <v>#DIV/0!</v>
      </c>
      <c r="T181" s="1" t="e">
        <f t="shared" si="11"/>
        <v>#NUM!</v>
      </c>
    </row>
    <row r="182" spans="2:20" x14ac:dyDescent="0.25">
      <c r="B182"/>
      <c r="C182"/>
      <c r="D182"/>
      <c r="E182"/>
      <c r="F182"/>
      <c r="G182"/>
      <c r="H182"/>
      <c r="I182"/>
      <c r="J182"/>
      <c r="K182"/>
      <c r="L182"/>
      <c r="M182"/>
      <c r="N182"/>
      <c r="O182"/>
      <c r="P182" s="1">
        <f t="shared" si="12"/>
        <v>132.66994801906162</v>
      </c>
      <c r="Q182" s="1" t="e">
        <f t="shared" si="10"/>
        <v>#DIV/0!</v>
      </c>
      <c r="R182" s="1" t="e">
        <f t="shared" si="13"/>
        <v>#DIV/0!</v>
      </c>
      <c r="T182" s="1" t="e">
        <f t="shared" si="11"/>
        <v>#NUM!</v>
      </c>
    </row>
    <row r="183" spans="2:20" x14ac:dyDescent="0.25">
      <c r="B183"/>
      <c r="C183"/>
      <c r="D183"/>
      <c r="E183"/>
      <c r="F183"/>
      <c r="G183"/>
      <c r="H183"/>
      <c r="I183"/>
      <c r="J183"/>
      <c r="K183"/>
      <c r="L183"/>
      <c r="M183"/>
      <c r="N183"/>
      <c r="O183"/>
      <c r="P183" s="1">
        <f t="shared" si="12"/>
        <v>132.66994801906162</v>
      </c>
      <c r="Q183" s="1" t="e">
        <f t="shared" si="10"/>
        <v>#DIV/0!</v>
      </c>
      <c r="R183" s="1" t="e">
        <f t="shared" si="13"/>
        <v>#DIV/0!</v>
      </c>
      <c r="T183" s="1" t="e">
        <f t="shared" si="11"/>
        <v>#NUM!</v>
      </c>
    </row>
    <row r="184" spans="2:20" x14ac:dyDescent="0.25">
      <c r="B184"/>
      <c r="C184"/>
      <c r="D184"/>
      <c r="E184"/>
      <c r="F184"/>
      <c r="G184"/>
      <c r="H184"/>
      <c r="I184"/>
      <c r="J184"/>
      <c r="K184"/>
      <c r="L184"/>
      <c r="M184"/>
      <c r="N184"/>
      <c r="O184"/>
      <c r="P184" s="1">
        <f t="shared" si="12"/>
        <v>132.66994801906162</v>
      </c>
      <c r="Q184" s="1" t="e">
        <f t="shared" si="10"/>
        <v>#DIV/0!</v>
      </c>
      <c r="R184" s="1" t="e">
        <f t="shared" si="13"/>
        <v>#DIV/0!</v>
      </c>
      <c r="T184" s="1" t="e">
        <f t="shared" si="11"/>
        <v>#NUM!</v>
      </c>
    </row>
    <row r="185" spans="2:20" x14ac:dyDescent="0.25">
      <c r="B185"/>
      <c r="C185"/>
      <c r="D185"/>
      <c r="E185"/>
      <c r="F185"/>
      <c r="G185"/>
      <c r="H185"/>
      <c r="I185"/>
      <c r="J185"/>
      <c r="K185"/>
      <c r="L185"/>
      <c r="M185"/>
      <c r="N185"/>
      <c r="O185"/>
      <c r="P185" s="1">
        <f t="shared" si="12"/>
        <v>132.66994801906162</v>
      </c>
      <c r="Q185" s="1" t="e">
        <f t="shared" si="10"/>
        <v>#DIV/0!</v>
      </c>
      <c r="R185" s="1" t="e">
        <f t="shared" si="13"/>
        <v>#DIV/0!</v>
      </c>
      <c r="T185" s="1" t="e">
        <f t="shared" si="11"/>
        <v>#NUM!</v>
      </c>
    </row>
    <row r="186" spans="2:20" x14ac:dyDescent="0.25">
      <c r="B186"/>
      <c r="C186"/>
      <c r="D186"/>
      <c r="E186"/>
      <c r="F186"/>
      <c r="G186"/>
      <c r="H186"/>
      <c r="I186"/>
      <c r="J186"/>
      <c r="K186"/>
      <c r="L186"/>
      <c r="M186"/>
      <c r="N186"/>
      <c r="O186"/>
      <c r="P186" s="1">
        <f t="shared" si="12"/>
        <v>132.66994801906162</v>
      </c>
      <c r="Q186" s="1" t="e">
        <f t="shared" si="10"/>
        <v>#DIV/0!</v>
      </c>
      <c r="R186" s="1" t="e">
        <f t="shared" si="13"/>
        <v>#DIV/0!</v>
      </c>
      <c r="T186" s="1" t="e">
        <f t="shared" si="11"/>
        <v>#NUM!</v>
      </c>
    </row>
    <row r="187" spans="2:20" x14ac:dyDescent="0.25">
      <c r="B187"/>
      <c r="C187"/>
      <c r="D187"/>
      <c r="E187"/>
      <c r="F187"/>
      <c r="G187"/>
      <c r="H187"/>
      <c r="I187"/>
      <c r="J187"/>
      <c r="K187"/>
      <c r="L187"/>
      <c r="M187"/>
      <c r="N187"/>
      <c r="O187"/>
      <c r="P187" s="1">
        <f t="shared" si="12"/>
        <v>132.66994801906162</v>
      </c>
      <c r="Q187" s="1" t="e">
        <f t="shared" si="10"/>
        <v>#DIV/0!</v>
      </c>
      <c r="R187" s="1" t="e">
        <f t="shared" si="13"/>
        <v>#DIV/0!</v>
      </c>
      <c r="T187" s="1" t="e">
        <f t="shared" si="11"/>
        <v>#NUM!</v>
      </c>
    </row>
    <row r="188" spans="2:20" x14ac:dyDescent="0.25">
      <c r="B188"/>
      <c r="C188"/>
      <c r="D188"/>
      <c r="E188"/>
      <c r="F188"/>
      <c r="G188"/>
      <c r="H188"/>
      <c r="I188"/>
      <c r="J188"/>
      <c r="K188"/>
      <c r="L188"/>
      <c r="M188"/>
      <c r="N188"/>
      <c r="O188"/>
      <c r="P188" s="1">
        <f t="shared" si="12"/>
        <v>132.66994801906162</v>
      </c>
      <c r="Q188" s="1" t="e">
        <f t="shared" si="10"/>
        <v>#DIV/0!</v>
      </c>
      <c r="R188" s="1" t="e">
        <f t="shared" si="13"/>
        <v>#DIV/0!</v>
      </c>
      <c r="T188" s="1" t="e">
        <f t="shared" si="11"/>
        <v>#NUM!</v>
      </c>
    </row>
    <row r="189" spans="2:20" x14ac:dyDescent="0.25">
      <c r="B189"/>
      <c r="C189"/>
      <c r="D189"/>
      <c r="E189"/>
      <c r="F189"/>
      <c r="G189"/>
      <c r="H189"/>
      <c r="I189"/>
      <c r="J189"/>
      <c r="K189"/>
      <c r="L189"/>
      <c r="M189"/>
      <c r="N189"/>
      <c r="O189"/>
      <c r="P189" s="1">
        <f t="shared" si="12"/>
        <v>132.66994801906162</v>
      </c>
      <c r="Q189" s="1" t="e">
        <f t="shared" si="10"/>
        <v>#DIV/0!</v>
      </c>
      <c r="R189" s="1" t="e">
        <f t="shared" si="13"/>
        <v>#DIV/0!</v>
      </c>
      <c r="T189" s="1" t="e">
        <f t="shared" si="11"/>
        <v>#NUM!</v>
      </c>
    </row>
    <row r="190" spans="2:20" x14ac:dyDescent="0.25">
      <c r="B190"/>
      <c r="C190"/>
      <c r="D190"/>
      <c r="E190"/>
      <c r="F190"/>
      <c r="G190"/>
      <c r="H190"/>
      <c r="I190"/>
      <c r="J190"/>
      <c r="K190"/>
      <c r="L190"/>
      <c r="M190"/>
      <c r="N190"/>
      <c r="O190"/>
      <c r="P190" s="1">
        <f t="shared" si="12"/>
        <v>132.66994801906162</v>
      </c>
      <c r="Q190" s="1" t="e">
        <f t="shared" si="10"/>
        <v>#DIV/0!</v>
      </c>
      <c r="R190" s="1" t="e">
        <f t="shared" si="13"/>
        <v>#DIV/0!</v>
      </c>
      <c r="T190" s="1" t="e">
        <f t="shared" si="11"/>
        <v>#NUM!</v>
      </c>
    </row>
    <row r="191" spans="2:20" x14ac:dyDescent="0.25">
      <c r="B191"/>
      <c r="C191"/>
      <c r="D191"/>
      <c r="E191"/>
      <c r="F191"/>
      <c r="G191"/>
      <c r="H191"/>
      <c r="I191"/>
      <c r="J191"/>
      <c r="K191"/>
      <c r="L191"/>
      <c r="M191"/>
      <c r="N191"/>
      <c r="O191"/>
      <c r="P191" s="1">
        <f t="shared" si="12"/>
        <v>132.66994801906162</v>
      </c>
      <c r="Q191" s="1" t="e">
        <f t="shared" si="10"/>
        <v>#DIV/0!</v>
      </c>
      <c r="R191" s="1" t="e">
        <f t="shared" si="13"/>
        <v>#DIV/0!</v>
      </c>
      <c r="T191" s="1" t="e">
        <f t="shared" si="11"/>
        <v>#NUM!</v>
      </c>
    </row>
    <row r="192" spans="2:20" x14ac:dyDescent="0.25">
      <c r="B192"/>
      <c r="C192"/>
      <c r="D192"/>
      <c r="E192"/>
      <c r="F192"/>
      <c r="G192"/>
      <c r="H192"/>
      <c r="I192"/>
      <c r="J192"/>
      <c r="K192"/>
      <c r="L192"/>
      <c r="M192"/>
      <c r="N192"/>
      <c r="O192"/>
      <c r="P192" s="1">
        <f t="shared" si="12"/>
        <v>132.66994801906162</v>
      </c>
      <c r="Q192" s="1" t="e">
        <f t="shared" si="10"/>
        <v>#DIV/0!</v>
      </c>
      <c r="R192" s="1" t="e">
        <f t="shared" si="13"/>
        <v>#DIV/0!</v>
      </c>
      <c r="T192" s="1" t="e">
        <f t="shared" si="11"/>
        <v>#NUM!</v>
      </c>
    </row>
    <row r="193" spans="2:20" x14ac:dyDescent="0.25">
      <c r="B193"/>
      <c r="C193"/>
      <c r="D193"/>
      <c r="E193"/>
      <c r="F193"/>
      <c r="G193"/>
      <c r="H193"/>
      <c r="I193"/>
      <c r="J193"/>
      <c r="K193"/>
      <c r="L193"/>
      <c r="M193"/>
      <c r="N193"/>
      <c r="O193"/>
      <c r="P193" s="1">
        <f t="shared" si="12"/>
        <v>132.66994801906162</v>
      </c>
      <c r="Q193" s="1" t="e">
        <f t="shared" si="10"/>
        <v>#DIV/0!</v>
      </c>
      <c r="R193" s="1" t="e">
        <f t="shared" si="13"/>
        <v>#DIV/0!</v>
      </c>
      <c r="T193" s="1" t="e">
        <f t="shared" si="11"/>
        <v>#NUM!</v>
      </c>
    </row>
    <row r="194" spans="2:20" x14ac:dyDescent="0.25">
      <c r="B194"/>
      <c r="C194"/>
      <c r="D194"/>
      <c r="E194"/>
      <c r="F194"/>
      <c r="G194"/>
      <c r="H194"/>
      <c r="I194"/>
      <c r="J194"/>
      <c r="K194"/>
      <c r="L194"/>
      <c r="M194"/>
      <c r="N194"/>
      <c r="O194"/>
      <c r="P194" s="1">
        <f t="shared" si="12"/>
        <v>132.66994801906162</v>
      </c>
      <c r="Q194" s="1" t="e">
        <f t="shared" si="10"/>
        <v>#DIV/0!</v>
      </c>
      <c r="R194" s="1" t="e">
        <f t="shared" si="13"/>
        <v>#DIV/0!</v>
      </c>
      <c r="T194" s="1" t="e">
        <f t="shared" si="11"/>
        <v>#NUM!</v>
      </c>
    </row>
    <row r="195" spans="2:20" x14ac:dyDescent="0.25">
      <c r="B195"/>
      <c r="C195"/>
      <c r="D195"/>
      <c r="E195"/>
      <c r="F195"/>
      <c r="G195"/>
      <c r="H195"/>
      <c r="I195"/>
      <c r="J195"/>
      <c r="K195"/>
      <c r="L195"/>
      <c r="M195"/>
      <c r="N195"/>
      <c r="O195"/>
      <c r="P195" s="1">
        <f t="shared" si="12"/>
        <v>132.66994801906162</v>
      </c>
      <c r="Q195" s="1" t="e">
        <f t="shared" si="10"/>
        <v>#DIV/0!</v>
      </c>
      <c r="R195" s="1" t="e">
        <f t="shared" si="13"/>
        <v>#DIV/0!</v>
      </c>
      <c r="T195" s="1" t="e">
        <f t="shared" si="11"/>
        <v>#NUM!</v>
      </c>
    </row>
    <row r="196" spans="2:20" x14ac:dyDescent="0.25">
      <c r="B196"/>
      <c r="C196"/>
      <c r="D196"/>
      <c r="E196"/>
      <c r="F196"/>
      <c r="G196"/>
      <c r="H196"/>
      <c r="I196"/>
      <c r="J196"/>
      <c r="K196"/>
      <c r="L196"/>
      <c r="M196"/>
      <c r="N196"/>
      <c r="O196"/>
      <c r="P196" s="1">
        <f t="shared" si="12"/>
        <v>132.66994801906162</v>
      </c>
      <c r="Q196" s="1" t="e">
        <f t="shared" ref="Q196:Q199" si="14">LOG(SUM(O$3:O$250)/(SUM(O$3:O$250)-P196))/0.0311</f>
        <v>#DIV/0!</v>
      </c>
      <c r="R196" s="1" t="e">
        <f t="shared" si="13"/>
        <v>#DIV/0!</v>
      </c>
      <c r="T196" s="1" t="e">
        <f t="shared" ref="T196:T199" si="15">LOG(O196)</f>
        <v>#NUM!</v>
      </c>
    </row>
    <row r="197" spans="2:20" x14ac:dyDescent="0.25">
      <c r="B197"/>
      <c r="C197"/>
      <c r="D197"/>
      <c r="E197"/>
      <c r="F197"/>
      <c r="G197"/>
      <c r="H197"/>
      <c r="I197"/>
      <c r="J197"/>
      <c r="K197"/>
      <c r="L197"/>
      <c r="M197"/>
      <c r="N197"/>
      <c r="O197"/>
      <c r="P197" s="1">
        <f t="shared" ref="P197:P249" si="16">O197+P196</f>
        <v>132.66994801906162</v>
      </c>
      <c r="Q197" s="1" t="e">
        <f t="shared" si="14"/>
        <v>#DIV/0!</v>
      </c>
      <c r="R197" s="1" t="e">
        <f t="shared" ref="R197:R199" si="17">Q197-Q196</f>
        <v>#DIV/0!</v>
      </c>
      <c r="T197" s="1" t="e">
        <f t="shared" si="15"/>
        <v>#NUM!</v>
      </c>
    </row>
    <row r="198" spans="2:20" x14ac:dyDescent="0.25">
      <c r="B198"/>
      <c r="C198"/>
      <c r="D198"/>
      <c r="E198"/>
      <c r="F198"/>
      <c r="G198"/>
      <c r="H198"/>
      <c r="I198"/>
      <c r="J198"/>
      <c r="K198"/>
      <c r="L198"/>
      <c r="M198"/>
      <c r="N198"/>
      <c r="O198"/>
      <c r="P198" s="1">
        <f t="shared" si="16"/>
        <v>132.66994801906162</v>
      </c>
      <c r="Q198" s="1" t="e">
        <f t="shared" si="14"/>
        <v>#DIV/0!</v>
      </c>
      <c r="R198" s="1" t="e">
        <f t="shared" si="17"/>
        <v>#DIV/0!</v>
      </c>
      <c r="T198" s="1" t="e">
        <f t="shared" si="15"/>
        <v>#NUM!</v>
      </c>
    </row>
    <row r="199" spans="2:20" x14ac:dyDescent="0.25">
      <c r="B199"/>
      <c r="C199"/>
      <c r="D199"/>
      <c r="E199"/>
      <c r="F199"/>
      <c r="G199"/>
      <c r="H199"/>
      <c r="I199"/>
      <c r="J199"/>
      <c r="K199"/>
      <c r="L199"/>
      <c r="M199"/>
      <c r="N199"/>
      <c r="O199"/>
      <c r="P199" s="1">
        <f t="shared" si="16"/>
        <v>132.66994801906162</v>
      </c>
      <c r="Q199" s="1" t="e">
        <f t="shared" si="14"/>
        <v>#DIV/0!</v>
      </c>
      <c r="R199" s="1" t="e">
        <f t="shared" si="17"/>
        <v>#DIV/0!</v>
      </c>
      <c r="T199" s="1" t="e">
        <f t="shared" si="15"/>
        <v>#NUM!</v>
      </c>
    </row>
    <row r="200" spans="2:20" x14ac:dyDescent="0.25">
      <c r="B200"/>
      <c r="C200"/>
      <c r="D200"/>
      <c r="E200"/>
      <c r="F200"/>
      <c r="G200"/>
      <c r="H200"/>
      <c r="I200"/>
      <c r="J200"/>
      <c r="K200"/>
      <c r="L200"/>
      <c r="M200"/>
      <c r="N200"/>
      <c r="O200"/>
      <c r="P200" s="1">
        <f t="shared" si="16"/>
        <v>132.66994801906162</v>
      </c>
    </row>
    <row r="201" spans="2:20" x14ac:dyDescent="0.25">
      <c r="B201"/>
      <c r="C201"/>
      <c r="D201"/>
      <c r="E201"/>
      <c r="F201"/>
      <c r="G201"/>
      <c r="H201"/>
      <c r="I201"/>
      <c r="J201"/>
      <c r="K201"/>
      <c r="L201"/>
      <c r="M201"/>
      <c r="N201"/>
      <c r="O201"/>
      <c r="P201" s="1">
        <f t="shared" si="16"/>
        <v>132.66994801906162</v>
      </c>
    </row>
    <row r="202" spans="2:20" x14ac:dyDescent="0.25">
      <c r="B202"/>
      <c r="C202"/>
      <c r="D202"/>
      <c r="E202"/>
      <c r="F202"/>
      <c r="G202"/>
      <c r="H202"/>
      <c r="I202"/>
      <c r="J202"/>
      <c r="K202"/>
      <c r="L202"/>
      <c r="M202"/>
      <c r="N202"/>
      <c r="O202"/>
      <c r="P202" s="1">
        <f t="shared" si="16"/>
        <v>132.66994801906162</v>
      </c>
    </row>
    <row r="203" spans="2:20" x14ac:dyDescent="0.25">
      <c r="B203"/>
      <c r="C203"/>
      <c r="D203"/>
      <c r="E203"/>
      <c r="F203"/>
      <c r="G203"/>
      <c r="H203"/>
      <c r="I203"/>
      <c r="J203"/>
      <c r="K203"/>
      <c r="L203"/>
      <c r="M203"/>
      <c r="N203"/>
      <c r="O203"/>
      <c r="P203" s="1">
        <f t="shared" si="16"/>
        <v>132.66994801906162</v>
      </c>
    </row>
    <row r="204" spans="2:20" x14ac:dyDescent="0.25">
      <c r="B204"/>
      <c r="C204"/>
      <c r="D204"/>
      <c r="E204"/>
      <c r="F204"/>
      <c r="G204"/>
      <c r="H204"/>
      <c r="I204"/>
      <c r="J204"/>
      <c r="K204"/>
      <c r="L204"/>
      <c r="M204"/>
      <c r="N204"/>
      <c r="O204"/>
      <c r="P204" s="1">
        <f t="shared" si="16"/>
        <v>132.66994801906162</v>
      </c>
    </row>
    <row r="205" spans="2:20" x14ac:dyDescent="0.25">
      <c r="B205"/>
      <c r="C205"/>
      <c r="D205"/>
      <c r="E205"/>
      <c r="F205"/>
      <c r="G205"/>
      <c r="H205"/>
      <c r="I205"/>
      <c r="J205"/>
      <c r="K205"/>
      <c r="L205"/>
      <c r="M205"/>
      <c r="N205"/>
      <c r="O205"/>
      <c r="P205" s="1">
        <f t="shared" si="16"/>
        <v>132.66994801906162</v>
      </c>
    </row>
    <row r="206" spans="2:20" x14ac:dyDescent="0.25">
      <c r="B206"/>
      <c r="C206"/>
      <c r="D206"/>
      <c r="E206"/>
      <c r="F206"/>
      <c r="G206"/>
      <c r="H206"/>
      <c r="I206"/>
      <c r="J206"/>
      <c r="K206"/>
      <c r="L206"/>
      <c r="M206"/>
      <c r="N206"/>
      <c r="O206"/>
      <c r="P206" s="1">
        <f t="shared" si="16"/>
        <v>132.66994801906162</v>
      </c>
    </row>
    <row r="207" spans="2:20" x14ac:dyDescent="0.25">
      <c r="B207"/>
      <c r="C207"/>
      <c r="D207"/>
      <c r="E207"/>
      <c r="F207"/>
      <c r="G207"/>
      <c r="H207"/>
      <c r="I207"/>
      <c r="J207"/>
      <c r="K207"/>
      <c r="L207"/>
      <c r="M207"/>
      <c r="N207"/>
      <c r="O207"/>
      <c r="P207" s="1">
        <f t="shared" si="16"/>
        <v>132.66994801906162</v>
      </c>
    </row>
    <row r="208" spans="2:20" x14ac:dyDescent="0.25">
      <c r="B208"/>
      <c r="C208"/>
      <c r="D208"/>
      <c r="E208"/>
      <c r="F208"/>
      <c r="G208"/>
      <c r="H208"/>
      <c r="I208"/>
      <c r="J208"/>
      <c r="K208"/>
      <c r="L208"/>
      <c r="M208"/>
      <c r="N208"/>
      <c r="O208"/>
      <c r="P208" s="1">
        <f t="shared" si="16"/>
        <v>132.66994801906162</v>
      </c>
    </row>
    <row r="209" spans="2:16" x14ac:dyDescent="0.25">
      <c r="B209"/>
      <c r="C209"/>
      <c r="D209"/>
      <c r="E209"/>
      <c r="F209"/>
      <c r="G209"/>
      <c r="H209"/>
      <c r="I209"/>
      <c r="J209"/>
      <c r="K209"/>
      <c r="L209"/>
      <c r="M209"/>
      <c r="N209"/>
      <c r="O209"/>
      <c r="P209" s="1">
        <f t="shared" si="16"/>
        <v>132.66994801906162</v>
      </c>
    </row>
    <row r="210" spans="2:16" x14ac:dyDescent="0.25">
      <c r="B210"/>
      <c r="C210"/>
      <c r="D210"/>
      <c r="E210"/>
      <c r="F210"/>
      <c r="G210"/>
      <c r="H210"/>
      <c r="I210"/>
      <c r="J210"/>
      <c r="K210"/>
      <c r="L210"/>
      <c r="M210"/>
      <c r="N210"/>
      <c r="O210"/>
      <c r="P210" s="1">
        <f t="shared" si="16"/>
        <v>132.66994801906162</v>
      </c>
    </row>
    <row r="211" spans="2:16" x14ac:dyDescent="0.25">
      <c r="B211"/>
      <c r="C211"/>
      <c r="D211"/>
      <c r="E211"/>
      <c r="F211"/>
      <c r="G211"/>
      <c r="H211"/>
      <c r="I211"/>
      <c r="J211"/>
      <c r="K211"/>
      <c r="L211"/>
      <c r="M211"/>
      <c r="N211"/>
      <c r="O211"/>
      <c r="P211" s="1">
        <f t="shared" si="16"/>
        <v>132.66994801906162</v>
      </c>
    </row>
    <row r="212" spans="2:16" x14ac:dyDescent="0.25">
      <c r="B212"/>
      <c r="C212"/>
      <c r="D212"/>
      <c r="E212"/>
      <c r="F212"/>
      <c r="G212"/>
      <c r="H212"/>
      <c r="I212"/>
      <c r="J212"/>
      <c r="K212"/>
      <c r="L212"/>
      <c r="M212"/>
      <c r="N212"/>
      <c r="O212"/>
      <c r="P212" s="1">
        <f t="shared" si="16"/>
        <v>132.66994801906162</v>
      </c>
    </row>
    <row r="213" spans="2:16" x14ac:dyDescent="0.25">
      <c r="B213"/>
      <c r="C213"/>
      <c r="D213"/>
      <c r="E213"/>
      <c r="F213"/>
      <c r="G213"/>
      <c r="H213"/>
      <c r="I213"/>
      <c r="J213"/>
      <c r="K213"/>
      <c r="L213"/>
      <c r="M213"/>
      <c r="N213"/>
      <c r="O213"/>
      <c r="P213" s="1">
        <f t="shared" si="16"/>
        <v>132.66994801906162</v>
      </c>
    </row>
    <row r="214" spans="2:16" x14ac:dyDescent="0.25">
      <c r="B214"/>
      <c r="C214"/>
      <c r="D214"/>
      <c r="E214"/>
      <c r="F214"/>
      <c r="G214"/>
      <c r="H214"/>
      <c r="I214"/>
      <c r="J214"/>
      <c r="K214"/>
      <c r="L214"/>
      <c r="M214"/>
      <c r="N214"/>
      <c r="O214"/>
      <c r="P214" s="1">
        <f t="shared" si="16"/>
        <v>132.66994801906162</v>
      </c>
    </row>
    <row r="215" spans="2:16" x14ac:dyDescent="0.25">
      <c r="B215"/>
      <c r="C215"/>
      <c r="D215"/>
      <c r="E215"/>
      <c r="F215"/>
      <c r="G215"/>
      <c r="H215"/>
      <c r="I215"/>
      <c r="J215"/>
      <c r="K215"/>
      <c r="L215"/>
      <c r="M215"/>
      <c r="N215"/>
      <c r="O215"/>
      <c r="P215" s="1">
        <f t="shared" si="16"/>
        <v>132.66994801906162</v>
      </c>
    </row>
    <row r="216" spans="2:16" x14ac:dyDescent="0.25">
      <c r="B216"/>
      <c r="C216"/>
      <c r="D216"/>
      <c r="E216"/>
      <c r="F216"/>
      <c r="G216"/>
      <c r="H216"/>
      <c r="I216"/>
      <c r="J216"/>
      <c r="K216"/>
      <c r="L216"/>
      <c r="M216"/>
      <c r="N216"/>
      <c r="O216"/>
      <c r="P216" s="1">
        <f t="shared" si="16"/>
        <v>132.66994801906162</v>
      </c>
    </row>
    <row r="217" spans="2:16" x14ac:dyDescent="0.25">
      <c r="B217"/>
      <c r="C217"/>
      <c r="D217"/>
      <c r="E217"/>
      <c r="F217"/>
      <c r="G217"/>
      <c r="H217"/>
      <c r="I217"/>
      <c r="J217"/>
      <c r="K217"/>
      <c r="L217"/>
      <c r="M217"/>
      <c r="N217"/>
      <c r="O217"/>
      <c r="P217" s="1">
        <f t="shared" si="16"/>
        <v>132.66994801906162</v>
      </c>
    </row>
    <row r="218" spans="2:16" x14ac:dyDescent="0.25">
      <c r="B218"/>
      <c r="C218"/>
      <c r="D218"/>
      <c r="E218"/>
      <c r="F218"/>
      <c r="G218"/>
      <c r="H218"/>
      <c r="I218"/>
      <c r="J218"/>
      <c r="K218"/>
      <c r="L218"/>
      <c r="M218"/>
      <c r="N218"/>
      <c r="O218"/>
      <c r="P218" s="1">
        <f t="shared" si="16"/>
        <v>132.66994801906162</v>
      </c>
    </row>
    <row r="219" spans="2:16" x14ac:dyDescent="0.25">
      <c r="B219"/>
      <c r="C219"/>
      <c r="D219"/>
      <c r="E219"/>
      <c r="F219"/>
      <c r="G219"/>
      <c r="H219"/>
      <c r="I219"/>
      <c r="J219"/>
      <c r="K219"/>
      <c r="L219"/>
      <c r="M219"/>
      <c r="N219"/>
      <c r="O219"/>
      <c r="P219" s="1">
        <f t="shared" si="16"/>
        <v>132.66994801906162</v>
      </c>
    </row>
    <row r="220" spans="2:16" x14ac:dyDescent="0.25">
      <c r="B220"/>
      <c r="C220"/>
      <c r="D220"/>
      <c r="E220"/>
      <c r="F220"/>
      <c r="G220"/>
      <c r="H220"/>
      <c r="I220"/>
      <c r="J220"/>
      <c r="K220"/>
      <c r="L220"/>
      <c r="M220"/>
      <c r="N220"/>
      <c r="O220"/>
      <c r="P220" s="1">
        <f t="shared" si="16"/>
        <v>132.66994801906162</v>
      </c>
    </row>
    <row r="221" spans="2:16" x14ac:dyDescent="0.25">
      <c r="B221"/>
      <c r="C221"/>
      <c r="D221"/>
      <c r="E221"/>
      <c r="F221"/>
      <c r="G221"/>
      <c r="H221"/>
      <c r="I221"/>
      <c r="J221"/>
      <c r="K221"/>
      <c r="L221"/>
      <c r="M221"/>
      <c r="N221"/>
      <c r="O221"/>
      <c r="P221" s="1">
        <f t="shared" si="16"/>
        <v>132.66994801906162</v>
      </c>
    </row>
    <row r="222" spans="2:16" x14ac:dyDescent="0.25">
      <c r="B222"/>
      <c r="C222"/>
      <c r="D222"/>
      <c r="E222"/>
      <c r="F222"/>
      <c r="G222"/>
      <c r="H222"/>
      <c r="I222"/>
      <c r="J222"/>
      <c r="K222"/>
      <c r="L222"/>
      <c r="M222"/>
      <c r="N222"/>
      <c r="O222"/>
      <c r="P222" s="1">
        <f t="shared" si="16"/>
        <v>132.66994801906162</v>
      </c>
    </row>
    <row r="223" spans="2:16" x14ac:dyDescent="0.25">
      <c r="B223"/>
      <c r="C223"/>
      <c r="D223"/>
      <c r="E223"/>
      <c r="F223"/>
      <c r="G223"/>
      <c r="H223"/>
      <c r="I223"/>
      <c r="J223"/>
      <c r="K223"/>
      <c r="L223"/>
      <c r="M223"/>
      <c r="N223"/>
      <c r="O223"/>
      <c r="P223" s="1">
        <f t="shared" si="16"/>
        <v>132.66994801906162</v>
      </c>
    </row>
    <row r="224" spans="2:16" x14ac:dyDescent="0.25">
      <c r="B224"/>
      <c r="C224"/>
      <c r="D224"/>
      <c r="E224"/>
      <c r="F224"/>
      <c r="G224"/>
      <c r="H224"/>
      <c r="I224"/>
      <c r="J224"/>
      <c r="K224"/>
      <c r="L224"/>
      <c r="M224"/>
      <c r="N224"/>
      <c r="O224"/>
      <c r="P224" s="1">
        <f t="shared" si="16"/>
        <v>132.66994801906162</v>
      </c>
    </row>
    <row r="225" spans="2:16" x14ac:dyDescent="0.25">
      <c r="B225"/>
      <c r="C225"/>
      <c r="D225"/>
      <c r="E225"/>
      <c r="F225"/>
      <c r="G225"/>
      <c r="H225"/>
      <c r="I225"/>
      <c r="J225"/>
      <c r="K225"/>
      <c r="L225"/>
      <c r="M225"/>
      <c r="N225"/>
      <c r="O225"/>
      <c r="P225" s="1">
        <f t="shared" si="16"/>
        <v>132.66994801906162</v>
      </c>
    </row>
    <row r="226" spans="2:16" x14ac:dyDescent="0.25">
      <c r="B226"/>
      <c r="C226"/>
      <c r="D226"/>
      <c r="E226"/>
      <c r="F226"/>
      <c r="G226"/>
      <c r="H226"/>
      <c r="I226"/>
      <c r="J226"/>
      <c r="K226"/>
      <c r="L226"/>
      <c r="M226"/>
      <c r="N226"/>
      <c r="O226"/>
      <c r="P226" s="1">
        <f t="shared" si="16"/>
        <v>132.66994801906162</v>
      </c>
    </row>
    <row r="227" spans="2:16" x14ac:dyDescent="0.25">
      <c r="B227"/>
      <c r="C227"/>
      <c r="D227"/>
      <c r="E227"/>
      <c r="F227"/>
      <c r="G227"/>
      <c r="H227"/>
      <c r="I227"/>
      <c r="J227"/>
      <c r="K227"/>
      <c r="L227"/>
      <c r="M227"/>
      <c r="N227"/>
      <c r="O227"/>
      <c r="P227" s="1">
        <f t="shared" si="16"/>
        <v>132.66994801906162</v>
      </c>
    </row>
    <row r="228" spans="2:16" x14ac:dyDescent="0.25">
      <c r="B228"/>
      <c r="C228"/>
      <c r="D228"/>
      <c r="E228"/>
      <c r="F228"/>
      <c r="G228"/>
      <c r="H228"/>
      <c r="I228"/>
      <c r="J228"/>
      <c r="K228"/>
      <c r="L228"/>
      <c r="M228"/>
      <c r="N228"/>
      <c r="O228"/>
      <c r="P228" s="1">
        <f t="shared" si="16"/>
        <v>132.66994801906162</v>
      </c>
    </row>
    <row r="229" spans="2:16" x14ac:dyDescent="0.25">
      <c r="B229"/>
      <c r="C229"/>
      <c r="D229"/>
      <c r="E229"/>
      <c r="F229"/>
      <c r="G229"/>
      <c r="H229"/>
      <c r="I229"/>
      <c r="J229"/>
      <c r="K229"/>
      <c r="L229"/>
      <c r="M229"/>
      <c r="N229"/>
      <c r="O229"/>
      <c r="P229" s="1">
        <f t="shared" si="16"/>
        <v>132.66994801906162</v>
      </c>
    </row>
    <row r="230" spans="2:16" x14ac:dyDescent="0.25">
      <c r="B230"/>
      <c r="C230"/>
      <c r="D230"/>
      <c r="E230"/>
      <c r="F230"/>
      <c r="G230"/>
      <c r="H230"/>
      <c r="I230"/>
      <c r="J230"/>
      <c r="K230"/>
      <c r="L230"/>
      <c r="M230"/>
      <c r="N230"/>
      <c r="O230"/>
      <c r="P230" s="1">
        <f t="shared" si="16"/>
        <v>132.66994801906162</v>
      </c>
    </row>
    <row r="231" spans="2:16" x14ac:dyDescent="0.25">
      <c r="B231"/>
      <c r="C231"/>
      <c r="D231"/>
      <c r="E231"/>
      <c r="F231"/>
      <c r="G231"/>
      <c r="H231"/>
      <c r="I231"/>
      <c r="J231"/>
      <c r="K231"/>
      <c r="L231"/>
      <c r="M231"/>
      <c r="N231"/>
      <c r="O231"/>
      <c r="P231" s="1">
        <f t="shared" si="16"/>
        <v>132.66994801906162</v>
      </c>
    </row>
    <row r="232" spans="2:16" x14ac:dyDescent="0.25">
      <c r="B232"/>
      <c r="C232"/>
      <c r="D232"/>
      <c r="E232"/>
      <c r="F232"/>
      <c r="G232"/>
      <c r="H232"/>
      <c r="I232"/>
      <c r="J232"/>
      <c r="K232"/>
      <c r="L232"/>
      <c r="M232"/>
      <c r="N232"/>
      <c r="O232"/>
      <c r="P232" s="1">
        <f t="shared" si="16"/>
        <v>132.66994801906162</v>
      </c>
    </row>
    <row r="233" spans="2:16" x14ac:dyDescent="0.25">
      <c r="B233"/>
      <c r="C233"/>
      <c r="D233"/>
      <c r="E233"/>
      <c r="F233"/>
      <c r="G233"/>
      <c r="H233"/>
      <c r="I233"/>
      <c r="J233"/>
      <c r="K233"/>
      <c r="L233"/>
      <c r="M233"/>
      <c r="N233"/>
      <c r="O233"/>
      <c r="P233" s="1">
        <f t="shared" si="16"/>
        <v>132.66994801906162</v>
      </c>
    </row>
    <row r="234" spans="2:16" x14ac:dyDescent="0.25">
      <c r="B234"/>
      <c r="C234"/>
      <c r="D234"/>
      <c r="E234"/>
      <c r="F234"/>
      <c r="G234"/>
      <c r="H234"/>
      <c r="I234"/>
      <c r="J234"/>
      <c r="K234"/>
      <c r="L234"/>
      <c r="M234"/>
      <c r="N234"/>
      <c r="O234"/>
      <c r="P234" s="1">
        <f t="shared" si="16"/>
        <v>132.66994801906162</v>
      </c>
    </row>
    <row r="235" spans="2:16" x14ac:dyDescent="0.25">
      <c r="B235"/>
      <c r="C235"/>
      <c r="D235"/>
      <c r="E235"/>
      <c r="F235"/>
      <c r="G235"/>
      <c r="H235"/>
      <c r="I235"/>
      <c r="J235"/>
      <c r="K235"/>
      <c r="L235"/>
      <c r="M235"/>
      <c r="N235"/>
      <c r="O235"/>
      <c r="P235" s="1">
        <f t="shared" si="16"/>
        <v>132.66994801906162</v>
      </c>
    </row>
    <row r="236" spans="2:16" x14ac:dyDescent="0.25">
      <c r="B236"/>
      <c r="C236"/>
      <c r="D236"/>
      <c r="E236"/>
      <c r="F236"/>
      <c r="G236"/>
      <c r="H236"/>
      <c r="I236"/>
      <c r="J236"/>
      <c r="K236"/>
      <c r="L236"/>
      <c r="M236"/>
      <c r="N236"/>
      <c r="O236"/>
      <c r="P236" s="1">
        <f t="shared" si="16"/>
        <v>132.66994801906162</v>
      </c>
    </row>
    <row r="237" spans="2:16" x14ac:dyDescent="0.25">
      <c r="B237"/>
      <c r="C237"/>
      <c r="D237"/>
      <c r="E237"/>
      <c r="F237"/>
      <c r="G237"/>
      <c r="H237"/>
      <c r="I237"/>
      <c r="J237"/>
      <c r="K237"/>
      <c r="L237"/>
      <c r="M237"/>
      <c r="N237"/>
      <c r="O237"/>
      <c r="P237" s="1">
        <f t="shared" si="16"/>
        <v>132.66994801906162</v>
      </c>
    </row>
    <row r="238" spans="2:16" x14ac:dyDescent="0.25">
      <c r="B238"/>
      <c r="C238"/>
      <c r="D238"/>
      <c r="E238"/>
      <c r="F238"/>
      <c r="G238"/>
      <c r="H238"/>
      <c r="I238"/>
      <c r="J238"/>
      <c r="K238"/>
      <c r="L238"/>
      <c r="M238"/>
      <c r="N238"/>
      <c r="O238"/>
      <c r="P238" s="1">
        <f t="shared" si="16"/>
        <v>132.66994801906162</v>
      </c>
    </row>
    <row r="239" spans="2:16" x14ac:dyDescent="0.25">
      <c r="B239"/>
      <c r="C239"/>
      <c r="D239"/>
      <c r="E239"/>
      <c r="F239"/>
      <c r="G239"/>
      <c r="H239"/>
      <c r="I239"/>
      <c r="J239"/>
      <c r="K239"/>
      <c r="L239"/>
      <c r="M239"/>
      <c r="N239"/>
      <c r="O239"/>
      <c r="P239" s="1">
        <f t="shared" si="16"/>
        <v>132.66994801906162</v>
      </c>
    </row>
    <row r="240" spans="2:16" x14ac:dyDescent="0.25">
      <c r="B240"/>
      <c r="C240"/>
      <c r="D240"/>
      <c r="E240"/>
      <c r="F240"/>
      <c r="G240"/>
      <c r="H240"/>
      <c r="I240"/>
      <c r="J240"/>
      <c r="K240"/>
      <c r="L240"/>
      <c r="M240"/>
      <c r="N240"/>
      <c r="O240"/>
      <c r="P240" s="1">
        <f t="shared" si="16"/>
        <v>132.66994801906162</v>
      </c>
    </row>
    <row r="241" spans="2:16" x14ac:dyDescent="0.25">
      <c r="B241"/>
      <c r="C241"/>
      <c r="D241"/>
      <c r="E241"/>
      <c r="F241"/>
      <c r="G241"/>
      <c r="H241"/>
      <c r="I241"/>
      <c r="J241"/>
      <c r="K241"/>
      <c r="L241"/>
      <c r="M241"/>
      <c r="N241"/>
      <c r="O241"/>
      <c r="P241" s="1">
        <f t="shared" si="16"/>
        <v>132.66994801906162</v>
      </c>
    </row>
    <row r="242" spans="2:16" x14ac:dyDescent="0.25">
      <c r="B242"/>
      <c r="C242"/>
      <c r="D242"/>
      <c r="E242"/>
      <c r="F242"/>
      <c r="G242"/>
      <c r="H242"/>
      <c r="I242"/>
      <c r="J242"/>
      <c r="K242"/>
      <c r="L242"/>
      <c r="M242"/>
      <c r="N242"/>
      <c r="O242"/>
      <c r="P242" s="1">
        <f t="shared" si="16"/>
        <v>132.66994801906162</v>
      </c>
    </row>
    <row r="243" spans="2:16" x14ac:dyDescent="0.25">
      <c r="B243"/>
      <c r="C243"/>
      <c r="D243"/>
      <c r="E243"/>
      <c r="F243"/>
      <c r="G243"/>
      <c r="H243"/>
      <c r="I243"/>
      <c r="J243"/>
      <c r="K243"/>
      <c r="L243"/>
      <c r="M243"/>
      <c r="N243"/>
      <c r="O243"/>
      <c r="P243" s="1">
        <f t="shared" si="16"/>
        <v>132.66994801906162</v>
      </c>
    </row>
    <row r="244" spans="2:16" x14ac:dyDescent="0.25">
      <c r="B244"/>
      <c r="C244"/>
      <c r="D244"/>
      <c r="E244"/>
      <c r="F244"/>
      <c r="G244"/>
      <c r="H244"/>
      <c r="I244"/>
      <c r="J244"/>
      <c r="K244"/>
      <c r="L244"/>
      <c r="M244"/>
      <c r="N244"/>
      <c r="O244"/>
      <c r="P244" s="1">
        <f t="shared" si="16"/>
        <v>132.66994801906162</v>
      </c>
    </row>
    <row r="245" spans="2:16" x14ac:dyDescent="0.25">
      <c r="B245"/>
      <c r="C245"/>
      <c r="D245"/>
      <c r="E245"/>
      <c r="F245"/>
      <c r="G245"/>
      <c r="H245"/>
      <c r="I245"/>
      <c r="J245"/>
      <c r="K245"/>
      <c r="L245"/>
      <c r="M245"/>
      <c r="N245"/>
      <c r="O245"/>
      <c r="P245" s="1">
        <f t="shared" si="16"/>
        <v>132.66994801906162</v>
      </c>
    </row>
    <row r="246" spans="2:16" x14ac:dyDescent="0.25">
      <c r="B246"/>
      <c r="C246"/>
      <c r="D246"/>
      <c r="E246"/>
      <c r="F246"/>
      <c r="G246"/>
      <c r="H246"/>
      <c r="I246"/>
      <c r="J246"/>
      <c r="K246"/>
      <c r="L246"/>
      <c r="M246"/>
      <c r="N246"/>
      <c r="O246"/>
      <c r="P246" s="1">
        <f t="shared" si="16"/>
        <v>132.66994801906162</v>
      </c>
    </row>
    <row r="247" spans="2:16" x14ac:dyDescent="0.25">
      <c r="B247"/>
      <c r="C247"/>
      <c r="D247"/>
      <c r="E247"/>
      <c r="F247"/>
      <c r="G247"/>
      <c r="H247"/>
      <c r="I247"/>
      <c r="J247"/>
      <c r="K247"/>
      <c r="L247"/>
      <c r="M247"/>
      <c r="N247"/>
      <c r="O247"/>
      <c r="P247" s="1">
        <f t="shared" si="16"/>
        <v>132.66994801906162</v>
      </c>
    </row>
    <row r="248" spans="2:16" x14ac:dyDescent="0.25">
      <c r="B248"/>
      <c r="C248"/>
      <c r="D248"/>
      <c r="E248"/>
      <c r="F248"/>
      <c r="G248"/>
      <c r="H248"/>
      <c r="I248"/>
      <c r="J248"/>
      <c r="K248"/>
      <c r="L248"/>
      <c r="M248"/>
      <c r="N248"/>
      <c r="O248"/>
      <c r="P248" s="1">
        <f t="shared" si="16"/>
        <v>132.66994801906162</v>
      </c>
    </row>
    <row r="249" spans="2:16" x14ac:dyDescent="0.25">
      <c r="B249"/>
      <c r="C249"/>
      <c r="D249"/>
      <c r="E249"/>
      <c r="F249"/>
      <c r="G249"/>
      <c r="H249"/>
      <c r="I249"/>
      <c r="J249"/>
      <c r="K249"/>
      <c r="L249"/>
      <c r="M249"/>
      <c r="N249"/>
      <c r="O249"/>
      <c r="P249" s="1">
        <f t="shared" si="16"/>
        <v>132.66994801906162</v>
      </c>
    </row>
    <row r="250" spans="2:16" x14ac:dyDescent="0.25">
      <c r="B250"/>
      <c r="C250"/>
      <c r="D250"/>
      <c r="E250"/>
      <c r="F250"/>
      <c r="G250"/>
      <c r="H250"/>
      <c r="I250"/>
      <c r="J250"/>
      <c r="K250"/>
      <c r="L250"/>
      <c r="M250"/>
      <c r="N250"/>
      <c r="O250"/>
    </row>
    <row r="251" spans="2:16" x14ac:dyDescent="0.25">
      <c r="B251"/>
      <c r="C251"/>
      <c r="D251"/>
      <c r="E251"/>
      <c r="F251"/>
      <c r="G251"/>
      <c r="H251"/>
      <c r="I251"/>
      <c r="J251"/>
      <c r="K251"/>
      <c r="L251"/>
      <c r="M251"/>
      <c r="N251"/>
      <c r="O251"/>
    </row>
    <row r="252" spans="2:16" x14ac:dyDescent="0.25">
      <c r="B252"/>
      <c r="C252"/>
      <c r="D252"/>
      <c r="E252"/>
      <c r="F252"/>
      <c r="G252"/>
      <c r="H252"/>
      <c r="I252"/>
      <c r="J252"/>
      <c r="K252"/>
      <c r="L252"/>
      <c r="M252"/>
      <c r="N252"/>
      <c r="O252"/>
    </row>
    <row r="253" spans="2:16" x14ac:dyDescent="0.25">
      <c r="B253"/>
      <c r="C253"/>
      <c r="D253"/>
      <c r="E253"/>
      <c r="F253"/>
      <c r="G253"/>
      <c r="H253"/>
      <c r="I253"/>
      <c r="J253"/>
      <c r="K253"/>
      <c r="L253"/>
      <c r="M253"/>
      <c r="N253"/>
      <c r="O253"/>
    </row>
    <row r="254" spans="2:16" x14ac:dyDescent="0.25">
      <c r="B254"/>
      <c r="C254"/>
      <c r="D254"/>
      <c r="E254"/>
      <c r="F254"/>
      <c r="G254"/>
      <c r="H254"/>
      <c r="I254"/>
      <c r="J254"/>
      <c r="K254"/>
      <c r="L254"/>
      <c r="M254"/>
      <c r="N254"/>
      <c r="O254"/>
    </row>
    <row r="255" spans="2:16" x14ac:dyDescent="0.25">
      <c r="B255"/>
      <c r="C255"/>
      <c r="D255"/>
      <c r="E255"/>
      <c r="F255"/>
      <c r="G255"/>
      <c r="H255"/>
      <c r="I255"/>
      <c r="J255"/>
      <c r="K255"/>
      <c r="L255"/>
      <c r="M255"/>
      <c r="N255"/>
      <c r="O255"/>
    </row>
    <row r="256" spans="2:16" x14ac:dyDescent="0.25">
      <c r="B256"/>
      <c r="C256"/>
      <c r="D256"/>
      <c r="E256"/>
      <c r="F256"/>
      <c r="G256"/>
      <c r="H256"/>
      <c r="I256"/>
      <c r="J256"/>
      <c r="K256"/>
      <c r="L256"/>
      <c r="M256"/>
      <c r="N256"/>
      <c r="O256"/>
    </row>
    <row r="257" spans="2:15" x14ac:dyDescent="0.25">
      <c r="B257"/>
      <c r="C257"/>
      <c r="D257"/>
      <c r="E257"/>
      <c r="F257"/>
      <c r="G257"/>
      <c r="H257"/>
      <c r="I257"/>
      <c r="J257"/>
      <c r="K257"/>
      <c r="L257"/>
      <c r="M257"/>
      <c r="N257"/>
      <c r="O257"/>
    </row>
    <row r="258" spans="2:15" x14ac:dyDescent="0.25">
      <c r="B258"/>
      <c r="C258"/>
      <c r="D258"/>
      <c r="E258"/>
      <c r="F258"/>
      <c r="G258"/>
      <c r="H258"/>
      <c r="I258"/>
      <c r="J258"/>
      <c r="K258"/>
      <c r="L258"/>
      <c r="M258"/>
      <c r="N258"/>
      <c r="O258"/>
    </row>
    <row r="259" spans="2:15" x14ac:dyDescent="0.25">
      <c r="B259"/>
      <c r="C259"/>
      <c r="D259"/>
      <c r="E259"/>
      <c r="F259"/>
      <c r="G259"/>
      <c r="H259"/>
      <c r="I259"/>
      <c r="J259"/>
      <c r="K259"/>
      <c r="L259"/>
      <c r="M259"/>
      <c r="N259"/>
      <c r="O259"/>
    </row>
    <row r="260" spans="2:15" x14ac:dyDescent="0.25">
      <c r="B260"/>
      <c r="C260"/>
      <c r="D260"/>
      <c r="E260"/>
      <c r="F260"/>
      <c r="G260"/>
      <c r="H260"/>
      <c r="I260"/>
      <c r="J260"/>
      <c r="K260"/>
      <c r="L260"/>
      <c r="M260"/>
      <c r="N260"/>
      <c r="O260"/>
    </row>
    <row r="261" spans="2:15" x14ac:dyDescent="0.25">
      <c r="B261"/>
      <c r="C261"/>
      <c r="D261"/>
      <c r="E261"/>
      <c r="F261"/>
      <c r="G261"/>
      <c r="H261"/>
      <c r="I261"/>
      <c r="J261"/>
      <c r="K261"/>
      <c r="L261"/>
      <c r="M261"/>
      <c r="N261"/>
      <c r="O261"/>
    </row>
    <row r="262" spans="2:15" x14ac:dyDescent="0.25">
      <c r="B262"/>
      <c r="C262"/>
      <c r="D262"/>
      <c r="E262"/>
      <c r="F262"/>
      <c r="G262"/>
      <c r="H262"/>
      <c r="I262"/>
      <c r="J262"/>
      <c r="K262"/>
      <c r="L262"/>
      <c r="M262"/>
      <c r="N262"/>
      <c r="O262"/>
    </row>
    <row r="263" spans="2:15" x14ac:dyDescent="0.25">
      <c r="B263"/>
      <c r="C263"/>
      <c r="D263"/>
      <c r="E263"/>
      <c r="F263"/>
      <c r="G263"/>
      <c r="H263"/>
      <c r="I263"/>
      <c r="J263"/>
      <c r="K263"/>
      <c r="L263"/>
      <c r="M263"/>
      <c r="N263"/>
      <c r="O263"/>
    </row>
    <row r="264" spans="2:15" x14ac:dyDescent="0.25">
      <c r="B264"/>
      <c r="C264"/>
      <c r="D264"/>
      <c r="E264"/>
      <c r="F264"/>
      <c r="G264"/>
      <c r="H264"/>
      <c r="I264"/>
      <c r="J264"/>
      <c r="K264"/>
      <c r="L264"/>
      <c r="M264"/>
      <c r="N264"/>
      <c r="O264"/>
    </row>
    <row r="265" spans="2:15" x14ac:dyDescent="0.25">
      <c r="B265"/>
      <c r="C265"/>
      <c r="D265"/>
      <c r="E265"/>
      <c r="F265"/>
      <c r="G265"/>
      <c r="H265"/>
      <c r="I265"/>
      <c r="J265"/>
      <c r="K265"/>
      <c r="L265"/>
      <c r="M265"/>
      <c r="N265"/>
      <c r="O265"/>
    </row>
    <row r="266" spans="2:15" x14ac:dyDescent="0.25">
      <c r="B266"/>
      <c r="C266"/>
      <c r="D266"/>
      <c r="E266"/>
      <c r="F266"/>
      <c r="G266"/>
      <c r="H266"/>
      <c r="I266"/>
      <c r="J266"/>
      <c r="K266"/>
      <c r="L266"/>
      <c r="M266"/>
      <c r="N266"/>
      <c r="O266"/>
    </row>
    <row r="267" spans="2:15" x14ac:dyDescent="0.25">
      <c r="B267"/>
      <c r="C267"/>
      <c r="D267"/>
      <c r="E267"/>
      <c r="F267"/>
      <c r="G267"/>
      <c r="H267"/>
      <c r="I267"/>
      <c r="J267"/>
      <c r="K267"/>
      <c r="L267"/>
      <c r="M267"/>
      <c r="N267"/>
      <c r="O267"/>
    </row>
    <row r="268" spans="2:15" x14ac:dyDescent="0.25">
      <c r="B268"/>
      <c r="C268"/>
      <c r="D268"/>
      <c r="E268"/>
      <c r="F268"/>
      <c r="G268"/>
      <c r="H268"/>
      <c r="I268"/>
      <c r="J268"/>
      <c r="K268"/>
      <c r="L268"/>
      <c r="M268"/>
      <c r="N268"/>
      <c r="O268"/>
    </row>
    <row r="269" spans="2:15" x14ac:dyDescent="0.25">
      <c r="B269"/>
      <c r="C269"/>
      <c r="D269"/>
      <c r="E269"/>
      <c r="F269"/>
      <c r="G269"/>
      <c r="H269"/>
      <c r="I269"/>
      <c r="J269"/>
      <c r="K269"/>
      <c r="L269"/>
      <c r="M269"/>
      <c r="N269"/>
      <c r="O269"/>
    </row>
    <row r="270" spans="2:15" x14ac:dyDescent="0.25">
      <c r="B270"/>
      <c r="C270"/>
      <c r="D270"/>
      <c r="E270"/>
      <c r="F270"/>
      <c r="G270"/>
      <c r="H270"/>
      <c r="I270"/>
      <c r="J270"/>
      <c r="K270"/>
      <c r="L270"/>
      <c r="M270"/>
      <c r="N270"/>
      <c r="O270"/>
    </row>
    <row r="271" spans="2:15" x14ac:dyDescent="0.25">
      <c r="B271"/>
      <c r="C271"/>
      <c r="D271"/>
      <c r="E271"/>
      <c r="F271"/>
      <c r="G271"/>
      <c r="H271"/>
      <c r="I271"/>
      <c r="J271"/>
      <c r="K271"/>
      <c r="L271"/>
      <c r="M271"/>
      <c r="N271"/>
      <c r="O271"/>
    </row>
    <row r="272" spans="2:15" x14ac:dyDescent="0.25">
      <c r="B272"/>
      <c r="C272"/>
      <c r="D272"/>
      <c r="E272"/>
      <c r="F272"/>
      <c r="G272"/>
      <c r="H272"/>
      <c r="I272"/>
      <c r="J272"/>
      <c r="K272"/>
      <c r="L272"/>
      <c r="M272"/>
      <c r="N272"/>
      <c r="O272"/>
    </row>
    <row r="273" spans="2:15" x14ac:dyDescent="0.25">
      <c r="B273"/>
      <c r="C273"/>
      <c r="D273"/>
      <c r="E273"/>
      <c r="F273"/>
      <c r="G273"/>
      <c r="H273"/>
      <c r="I273"/>
      <c r="J273"/>
      <c r="K273"/>
      <c r="L273"/>
      <c r="M273"/>
      <c r="N273"/>
      <c r="O273"/>
    </row>
    <row r="274" spans="2:15" x14ac:dyDescent="0.25">
      <c r="B274"/>
      <c r="C274"/>
      <c r="D274"/>
      <c r="E274"/>
      <c r="F274"/>
      <c r="G274"/>
      <c r="H274"/>
      <c r="I274"/>
      <c r="J274"/>
      <c r="K274"/>
      <c r="L274"/>
      <c r="M274"/>
      <c r="N274"/>
      <c r="O274"/>
    </row>
    <row r="275" spans="2:15" x14ac:dyDescent="0.25">
      <c r="B275"/>
      <c r="C275"/>
      <c r="D275"/>
      <c r="E275"/>
      <c r="F275"/>
      <c r="G275"/>
      <c r="H275"/>
      <c r="I275"/>
      <c r="J275"/>
      <c r="K275"/>
      <c r="L275"/>
      <c r="M275"/>
      <c r="N275"/>
      <c r="O275"/>
    </row>
    <row r="276" spans="2:15" x14ac:dyDescent="0.25">
      <c r="B276"/>
      <c r="C276"/>
      <c r="D276"/>
      <c r="E276"/>
      <c r="F276"/>
      <c r="G276"/>
      <c r="H276"/>
      <c r="I276"/>
      <c r="J276"/>
      <c r="K276"/>
      <c r="L276"/>
      <c r="M276"/>
      <c r="N276"/>
      <c r="O276"/>
    </row>
    <row r="277" spans="2:15" x14ac:dyDescent="0.25">
      <c r="B277"/>
      <c r="C277"/>
      <c r="D277"/>
      <c r="E277"/>
      <c r="F277"/>
      <c r="G277"/>
      <c r="H277"/>
      <c r="I277"/>
      <c r="J277"/>
      <c r="K277"/>
      <c r="L277"/>
      <c r="M277"/>
      <c r="N277"/>
      <c r="O277"/>
    </row>
    <row r="278" spans="2:15" x14ac:dyDescent="0.25">
      <c r="B278"/>
      <c r="C278"/>
      <c r="D278"/>
      <c r="E278"/>
      <c r="F278"/>
      <c r="G278"/>
      <c r="H278"/>
      <c r="I278"/>
      <c r="J278"/>
      <c r="K278"/>
      <c r="L278"/>
      <c r="M278"/>
      <c r="N278"/>
      <c r="O278"/>
    </row>
    <row r="279" spans="2:15" x14ac:dyDescent="0.25">
      <c r="B279"/>
      <c r="C279"/>
      <c r="D279"/>
      <c r="E279"/>
      <c r="F279"/>
      <c r="G279"/>
      <c r="H279"/>
      <c r="I279"/>
      <c r="J279"/>
      <c r="K279"/>
      <c r="L279"/>
      <c r="M279"/>
      <c r="N279"/>
      <c r="O279"/>
    </row>
    <row r="280" spans="2:15" x14ac:dyDescent="0.25">
      <c r="B280"/>
      <c r="C280"/>
      <c r="D280"/>
      <c r="E280"/>
      <c r="F280"/>
      <c r="G280"/>
      <c r="H280"/>
      <c r="I280"/>
      <c r="J280"/>
      <c r="K280"/>
      <c r="L280"/>
      <c r="M280"/>
      <c r="N280"/>
      <c r="O280"/>
    </row>
    <row r="281" spans="2:15" x14ac:dyDescent="0.25">
      <c r="B281"/>
      <c r="C281"/>
      <c r="D281"/>
      <c r="E281"/>
      <c r="F281"/>
      <c r="G281"/>
      <c r="H281"/>
      <c r="I281"/>
      <c r="J281"/>
      <c r="K281"/>
      <c r="L281"/>
      <c r="M281"/>
      <c r="N281"/>
      <c r="O281"/>
    </row>
    <row r="282" spans="2:15" x14ac:dyDescent="0.25">
      <c r="B282"/>
      <c r="C282"/>
      <c r="D282"/>
      <c r="E282"/>
      <c r="F282"/>
      <c r="G282"/>
      <c r="H282"/>
      <c r="I282"/>
      <c r="J282"/>
      <c r="K282"/>
      <c r="L282"/>
      <c r="M282"/>
      <c r="N282"/>
      <c r="O282"/>
    </row>
    <row r="283" spans="2:15" x14ac:dyDescent="0.25">
      <c r="B283"/>
      <c r="C283"/>
      <c r="D283"/>
      <c r="E283"/>
      <c r="F283"/>
      <c r="G283"/>
      <c r="H283"/>
      <c r="I283"/>
      <c r="J283"/>
      <c r="K283"/>
      <c r="L283"/>
      <c r="M283"/>
      <c r="N283"/>
      <c r="O283"/>
    </row>
    <row r="284" spans="2:15" x14ac:dyDescent="0.25">
      <c r="B284"/>
      <c r="C284"/>
      <c r="D284"/>
      <c r="E284"/>
      <c r="F284"/>
      <c r="G284"/>
      <c r="H284"/>
      <c r="I284"/>
      <c r="J284"/>
      <c r="K284"/>
      <c r="L284"/>
      <c r="M284"/>
      <c r="N284"/>
      <c r="O284"/>
    </row>
    <row r="285" spans="2:15" x14ac:dyDescent="0.25">
      <c r="B285"/>
      <c r="C285"/>
      <c r="D285"/>
      <c r="E285"/>
      <c r="F285"/>
      <c r="G285"/>
      <c r="H285"/>
      <c r="I285"/>
      <c r="J285"/>
      <c r="K285"/>
      <c r="L285"/>
      <c r="M285"/>
      <c r="N285"/>
      <c r="O285"/>
    </row>
    <row r="286" spans="2:15" x14ac:dyDescent="0.25">
      <c r="B286"/>
      <c r="C286"/>
      <c r="D286"/>
      <c r="E286"/>
      <c r="F286"/>
      <c r="G286"/>
      <c r="H286"/>
      <c r="I286"/>
      <c r="J286"/>
      <c r="K286"/>
      <c r="L286"/>
      <c r="M286"/>
      <c r="N286"/>
      <c r="O286"/>
    </row>
    <row r="287" spans="2:15" x14ac:dyDescent="0.25">
      <c r="B287"/>
      <c r="C287"/>
      <c r="D287"/>
      <c r="E287"/>
      <c r="F287"/>
      <c r="G287"/>
      <c r="H287"/>
      <c r="I287"/>
      <c r="J287"/>
      <c r="K287"/>
      <c r="L287"/>
      <c r="M287"/>
      <c r="N287"/>
      <c r="O287"/>
    </row>
    <row r="288" spans="2:15" x14ac:dyDescent="0.25">
      <c r="B288"/>
      <c r="C288"/>
      <c r="D288"/>
      <c r="E288"/>
      <c r="F288"/>
      <c r="G288"/>
      <c r="H288"/>
      <c r="I288"/>
      <c r="J288"/>
      <c r="K288"/>
      <c r="L288"/>
      <c r="M288"/>
      <c r="N288"/>
      <c r="O288"/>
    </row>
    <row r="289" spans="2:15" x14ac:dyDescent="0.25">
      <c r="B289"/>
      <c r="C289"/>
      <c r="D289"/>
      <c r="E289"/>
      <c r="F289"/>
      <c r="G289"/>
      <c r="H289"/>
      <c r="I289"/>
      <c r="J289"/>
      <c r="K289"/>
      <c r="L289"/>
      <c r="M289"/>
      <c r="N289"/>
      <c r="O289"/>
    </row>
    <row r="290" spans="2:15" x14ac:dyDescent="0.25">
      <c r="B290"/>
      <c r="C290"/>
      <c r="D290"/>
      <c r="E290"/>
      <c r="F290"/>
      <c r="G290"/>
      <c r="H290"/>
      <c r="I290"/>
      <c r="J290"/>
      <c r="K290"/>
      <c r="L290"/>
      <c r="M290"/>
      <c r="N290"/>
      <c r="O290"/>
    </row>
    <row r="291" spans="2:15" x14ac:dyDescent="0.25">
      <c r="B291"/>
      <c r="C291"/>
      <c r="D291"/>
      <c r="E291"/>
      <c r="F291"/>
      <c r="G291"/>
      <c r="H291"/>
      <c r="I291"/>
      <c r="J291"/>
      <c r="K291"/>
      <c r="L291"/>
      <c r="M291"/>
      <c r="N291"/>
      <c r="O291"/>
    </row>
    <row r="292" spans="2:15" x14ac:dyDescent="0.25">
      <c r="B292"/>
      <c r="C292"/>
      <c r="D292"/>
      <c r="E292"/>
      <c r="F292"/>
      <c r="G292"/>
      <c r="H292"/>
      <c r="I292"/>
      <c r="J292"/>
      <c r="K292"/>
      <c r="L292"/>
      <c r="M292"/>
      <c r="N292"/>
      <c r="O292"/>
    </row>
    <row r="293" spans="2:15" x14ac:dyDescent="0.25">
      <c r="B293"/>
      <c r="C293"/>
      <c r="D293"/>
      <c r="E293"/>
      <c r="F293"/>
      <c r="G293"/>
      <c r="H293"/>
      <c r="I293"/>
      <c r="J293"/>
      <c r="K293"/>
      <c r="L293"/>
      <c r="M293"/>
      <c r="N293"/>
      <c r="O293"/>
    </row>
    <row r="294" spans="2:15" x14ac:dyDescent="0.25">
      <c r="B294"/>
      <c r="C294"/>
      <c r="D294"/>
      <c r="E294"/>
      <c r="F294"/>
      <c r="G294"/>
      <c r="H294"/>
      <c r="I294"/>
      <c r="J294"/>
      <c r="K294"/>
      <c r="L294"/>
      <c r="M294"/>
      <c r="N294"/>
      <c r="O294"/>
    </row>
    <row r="295" spans="2:15" x14ac:dyDescent="0.25">
      <c r="B295"/>
      <c r="C295"/>
      <c r="D295"/>
      <c r="E295"/>
      <c r="F295"/>
      <c r="G295"/>
      <c r="H295"/>
      <c r="I295"/>
      <c r="J295"/>
      <c r="K295"/>
      <c r="L295"/>
      <c r="M295"/>
      <c r="N295"/>
      <c r="O295"/>
    </row>
    <row r="296" spans="2:15" x14ac:dyDescent="0.25">
      <c r="B296"/>
      <c r="C296"/>
      <c r="D296"/>
      <c r="E296"/>
      <c r="F296"/>
      <c r="G296"/>
      <c r="H296"/>
      <c r="I296"/>
      <c r="J296"/>
      <c r="K296"/>
      <c r="L296"/>
      <c r="M296"/>
      <c r="N296"/>
      <c r="O296"/>
    </row>
    <row r="297" spans="2:15" x14ac:dyDescent="0.25">
      <c r="B297"/>
      <c r="C297"/>
      <c r="D297"/>
      <c r="E297"/>
      <c r="F297"/>
      <c r="G297"/>
      <c r="H297"/>
      <c r="I297"/>
      <c r="J297"/>
      <c r="K297"/>
      <c r="L297"/>
      <c r="M297"/>
      <c r="N297"/>
      <c r="O297"/>
    </row>
    <row r="298" spans="2:15" x14ac:dyDescent="0.25">
      <c r="B298"/>
      <c r="C298"/>
      <c r="D298"/>
      <c r="E298"/>
      <c r="F298"/>
      <c r="G298"/>
      <c r="H298"/>
      <c r="I298"/>
      <c r="J298"/>
      <c r="K298"/>
      <c r="L298"/>
      <c r="M298"/>
      <c r="N298"/>
      <c r="O298"/>
    </row>
    <row r="299" spans="2:15" x14ac:dyDescent="0.25">
      <c r="B299"/>
      <c r="C299"/>
      <c r="D299"/>
      <c r="E299"/>
      <c r="F299"/>
      <c r="G299"/>
      <c r="H299"/>
      <c r="I299"/>
      <c r="J299"/>
      <c r="K299"/>
      <c r="L299"/>
      <c r="M299"/>
      <c r="N299"/>
      <c r="O299"/>
    </row>
    <row r="300" spans="2:15" x14ac:dyDescent="0.25">
      <c r="B300"/>
      <c r="C300"/>
      <c r="D300"/>
      <c r="E300"/>
      <c r="F300"/>
      <c r="G300"/>
      <c r="H300"/>
      <c r="I300"/>
      <c r="J300"/>
      <c r="K300"/>
      <c r="L300"/>
      <c r="M300"/>
      <c r="N300"/>
      <c r="O300"/>
    </row>
    <row r="301" spans="2:15" x14ac:dyDescent="0.25">
      <c r="B301"/>
      <c r="C301"/>
      <c r="D301"/>
      <c r="E301"/>
      <c r="F301"/>
      <c r="G301"/>
      <c r="H301"/>
      <c r="I301"/>
      <c r="J301"/>
      <c r="K301"/>
      <c r="L301"/>
      <c r="M301"/>
      <c r="N301"/>
      <c r="O301"/>
    </row>
    <row r="302" spans="2:15" x14ac:dyDescent="0.25">
      <c r="B302"/>
      <c r="C302"/>
      <c r="D302"/>
      <c r="E302"/>
      <c r="F302"/>
      <c r="G302"/>
      <c r="H302"/>
      <c r="I302"/>
      <c r="J302"/>
      <c r="K302"/>
      <c r="L302"/>
      <c r="M302"/>
      <c r="N302"/>
      <c r="O302"/>
    </row>
    <row r="303" spans="2:15" x14ac:dyDescent="0.25">
      <c r="B303"/>
      <c r="C303"/>
      <c r="D303"/>
      <c r="E303"/>
      <c r="F303"/>
      <c r="G303"/>
      <c r="H303"/>
      <c r="I303"/>
      <c r="J303"/>
      <c r="K303"/>
      <c r="L303"/>
      <c r="M303"/>
      <c r="N303"/>
      <c r="O303"/>
    </row>
    <row r="304" spans="2:15" x14ac:dyDescent="0.25">
      <c r="B304"/>
      <c r="C304"/>
      <c r="D304"/>
      <c r="E304"/>
      <c r="F304"/>
      <c r="G304"/>
      <c r="H304"/>
      <c r="I304"/>
      <c r="J304"/>
      <c r="K304"/>
      <c r="L304"/>
      <c r="M304"/>
      <c r="N304"/>
      <c r="O304"/>
    </row>
    <row r="305" spans="2:15" x14ac:dyDescent="0.25">
      <c r="B305"/>
      <c r="C305"/>
      <c r="D305"/>
      <c r="E305"/>
      <c r="F305"/>
      <c r="G305"/>
      <c r="H305"/>
      <c r="I305"/>
      <c r="J305"/>
      <c r="K305"/>
      <c r="L305"/>
      <c r="M305"/>
      <c r="N305"/>
      <c r="O305"/>
    </row>
    <row r="306" spans="2:15" x14ac:dyDescent="0.25">
      <c r="B306"/>
      <c r="C306"/>
      <c r="D306"/>
      <c r="E306"/>
      <c r="F306"/>
      <c r="G306"/>
      <c r="H306"/>
      <c r="I306"/>
      <c r="J306"/>
      <c r="K306"/>
      <c r="L306"/>
      <c r="M306"/>
      <c r="N306"/>
      <c r="O306"/>
    </row>
    <row r="307" spans="2:15" x14ac:dyDescent="0.25">
      <c r="B307"/>
      <c r="C307"/>
      <c r="D307"/>
      <c r="E307"/>
      <c r="F307"/>
      <c r="G307"/>
      <c r="H307"/>
      <c r="I307"/>
      <c r="J307"/>
      <c r="K307"/>
      <c r="L307"/>
      <c r="M307"/>
      <c r="N307"/>
      <c r="O307"/>
    </row>
    <row r="308" spans="2:15" x14ac:dyDescent="0.25">
      <c r="B308"/>
      <c r="C308"/>
      <c r="D308"/>
      <c r="E308"/>
      <c r="F308"/>
      <c r="G308"/>
      <c r="H308"/>
      <c r="I308"/>
      <c r="J308"/>
      <c r="K308"/>
      <c r="L308"/>
      <c r="M308"/>
      <c r="N308"/>
      <c r="O308"/>
    </row>
    <row r="309" spans="2:15" x14ac:dyDescent="0.25">
      <c r="B309"/>
      <c r="C309"/>
      <c r="D309"/>
      <c r="E309"/>
      <c r="F309"/>
      <c r="G309"/>
      <c r="H309"/>
      <c r="I309"/>
      <c r="J309"/>
      <c r="K309"/>
      <c r="L309"/>
      <c r="M309"/>
      <c r="N309"/>
      <c r="O309"/>
    </row>
    <row r="310" spans="2:15" x14ac:dyDescent="0.25">
      <c r="B310"/>
      <c r="C310"/>
      <c r="D310"/>
      <c r="E310"/>
      <c r="F310"/>
      <c r="G310"/>
      <c r="H310"/>
      <c r="I310"/>
      <c r="J310"/>
      <c r="K310"/>
      <c r="L310"/>
      <c r="M310"/>
      <c r="N310"/>
      <c r="O310"/>
    </row>
    <row r="311" spans="2:15" x14ac:dyDescent="0.25">
      <c r="B311"/>
      <c r="C311"/>
      <c r="D311"/>
      <c r="E311"/>
      <c r="F311"/>
      <c r="G311"/>
      <c r="H311"/>
      <c r="I311"/>
      <c r="J311"/>
      <c r="K311"/>
      <c r="L311"/>
      <c r="M311"/>
      <c r="N311"/>
      <c r="O311"/>
    </row>
    <row r="312" spans="2:15" x14ac:dyDescent="0.25">
      <c r="B312"/>
      <c r="C312"/>
      <c r="D312"/>
      <c r="E312"/>
      <c r="F312"/>
      <c r="G312"/>
      <c r="H312"/>
      <c r="I312"/>
      <c r="J312"/>
      <c r="K312"/>
      <c r="L312"/>
      <c r="M312"/>
      <c r="N312"/>
      <c r="O312"/>
    </row>
    <row r="313" spans="2:15" x14ac:dyDescent="0.25">
      <c r="B313"/>
      <c r="C313"/>
      <c r="D313"/>
      <c r="E313"/>
      <c r="F313"/>
      <c r="G313"/>
      <c r="H313"/>
      <c r="I313"/>
      <c r="J313"/>
      <c r="K313"/>
      <c r="L313"/>
      <c r="M313"/>
      <c r="N313"/>
      <c r="O313"/>
    </row>
    <row r="314" spans="2:15" x14ac:dyDescent="0.25">
      <c r="B314"/>
      <c r="C314"/>
      <c r="D314"/>
      <c r="E314"/>
      <c r="F314"/>
      <c r="G314"/>
      <c r="H314"/>
      <c r="I314"/>
      <c r="J314"/>
      <c r="K314"/>
      <c r="L314"/>
      <c r="M314"/>
      <c r="N314"/>
      <c r="O314"/>
    </row>
    <row r="315" spans="2:15" x14ac:dyDescent="0.25">
      <c r="B315"/>
      <c r="C315"/>
      <c r="D315"/>
      <c r="E315"/>
      <c r="F315"/>
      <c r="G315"/>
      <c r="H315"/>
      <c r="I315"/>
      <c r="J315"/>
      <c r="K315"/>
      <c r="L315"/>
      <c r="M315"/>
      <c r="N315"/>
      <c r="O315"/>
    </row>
    <row r="316" spans="2:15" x14ac:dyDescent="0.25">
      <c r="B316"/>
      <c r="C316"/>
      <c r="D316"/>
      <c r="E316"/>
      <c r="F316"/>
      <c r="G316"/>
      <c r="H316"/>
      <c r="I316"/>
      <c r="J316"/>
      <c r="K316"/>
      <c r="L316"/>
      <c r="M316"/>
      <c r="N316"/>
      <c r="O316"/>
    </row>
    <row r="317" spans="2:15" x14ac:dyDescent="0.25">
      <c r="B317"/>
      <c r="C317"/>
      <c r="D317"/>
      <c r="E317"/>
      <c r="F317"/>
      <c r="G317"/>
      <c r="H317"/>
      <c r="I317"/>
      <c r="J317"/>
      <c r="K317"/>
      <c r="L317"/>
      <c r="M317"/>
      <c r="N317"/>
      <c r="O317"/>
    </row>
    <row r="318" spans="2:15" x14ac:dyDescent="0.25">
      <c r="B318"/>
      <c r="C318"/>
      <c r="D318"/>
      <c r="E318"/>
      <c r="F318"/>
      <c r="G318"/>
      <c r="H318"/>
      <c r="I318"/>
      <c r="J318"/>
      <c r="K318"/>
      <c r="L318"/>
      <c r="M318"/>
      <c r="N318"/>
      <c r="O318"/>
    </row>
    <row r="319" spans="2:15" x14ac:dyDescent="0.25">
      <c r="B319"/>
      <c r="C319"/>
      <c r="D319"/>
      <c r="E319"/>
      <c r="F319"/>
      <c r="G319"/>
      <c r="H319"/>
      <c r="I319"/>
      <c r="J319"/>
      <c r="K319"/>
      <c r="L319"/>
      <c r="M319"/>
      <c r="N319"/>
      <c r="O319"/>
    </row>
    <row r="320" spans="2:15" x14ac:dyDescent="0.25">
      <c r="B320"/>
      <c r="C320"/>
      <c r="D320"/>
      <c r="E320"/>
      <c r="F320"/>
      <c r="G320"/>
      <c r="H320"/>
      <c r="I320"/>
      <c r="J320"/>
      <c r="K320"/>
      <c r="L320"/>
      <c r="M320"/>
      <c r="N320"/>
      <c r="O320"/>
    </row>
    <row r="321" spans="2:15" x14ac:dyDescent="0.25">
      <c r="B321"/>
      <c r="C321"/>
      <c r="D321"/>
      <c r="E321"/>
      <c r="F321"/>
      <c r="G321"/>
      <c r="H321"/>
      <c r="I321"/>
      <c r="J321"/>
      <c r="K321"/>
      <c r="L321"/>
      <c r="M321"/>
      <c r="N321"/>
      <c r="O321"/>
    </row>
    <row r="322" spans="2:15" x14ac:dyDescent="0.25">
      <c r="B322"/>
      <c r="C322"/>
      <c r="D322"/>
      <c r="E322"/>
      <c r="F322"/>
      <c r="G322"/>
      <c r="H322"/>
      <c r="I322"/>
      <c r="J322"/>
      <c r="K322"/>
      <c r="L322"/>
      <c r="M322"/>
      <c r="N322"/>
      <c r="O322"/>
    </row>
    <row r="323" spans="2:15" x14ac:dyDescent="0.25">
      <c r="B323"/>
      <c r="C323"/>
      <c r="D323"/>
      <c r="E323"/>
      <c r="F323"/>
      <c r="G323"/>
      <c r="H323"/>
      <c r="I323"/>
      <c r="J323"/>
      <c r="K323"/>
      <c r="L323"/>
      <c r="M323"/>
      <c r="N323"/>
      <c r="O323"/>
    </row>
    <row r="324" spans="2:15" x14ac:dyDescent="0.25">
      <c r="B324"/>
      <c r="C324"/>
      <c r="D324"/>
      <c r="E324"/>
      <c r="F324"/>
      <c r="G324"/>
      <c r="H324"/>
      <c r="I324"/>
      <c r="J324"/>
      <c r="K324"/>
      <c r="L324"/>
      <c r="M324"/>
      <c r="N324"/>
      <c r="O324"/>
    </row>
    <row r="325" spans="2:15" x14ac:dyDescent="0.25">
      <c r="B325"/>
      <c r="C325"/>
      <c r="D325"/>
      <c r="E325"/>
      <c r="F325"/>
      <c r="G325"/>
      <c r="H325"/>
      <c r="I325"/>
      <c r="J325"/>
      <c r="K325"/>
      <c r="L325"/>
      <c r="M325"/>
      <c r="N325"/>
      <c r="O325"/>
    </row>
    <row r="326" spans="2:15" x14ac:dyDescent="0.25">
      <c r="B326"/>
      <c r="C326"/>
      <c r="D326"/>
      <c r="E326"/>
      <c r="F326"/>
      <c r="G326"/>
      <c r="H326"/>
      <c r="I326"/>
      <c r="J326"/>
      <c r="K326"/>
      <c r="L326"/>
      <c r="M326"/>
      <c r="N326"/>
      <c r="O326"/>
    </row>
    <row r="327" spans="2:15" x14ac:dyDescent="0.25">
      <c r="B327"/>
      <c r="C327"/>
      <c r="D327"/>
      <c r="E327"/>
      <c r="F327"/>
      <c r="G327"/>
      <c r="H327"/>
      <c r="I327"/>
      <c r="J327"/>
      <c r="K327"/>
      <c r="L327"/>
      <c r="M327"/>
      <c r="N327"/>
      <c r="O327"/>
    </row>
    <row r="328" spans="2:15" x14ac:dyDescent="0.25">
      <c r="B328"/>
      <c r="C328"/>
      <c r="D328"/>
      <c r="E328"/>
      <c r="F328"/>
      <c r="G328"/>
      <c r="H328"/>
      <c r="I328"/>
      <c r="J328"/>
      <c r="K328"/>
      <c r="L328"/>
      <c r="M328"/>
      <c r="N328"/>
      <c r="O328"/>
    </row>
    <row r="329" spans="2:15" x14ac:dyDescent="0.25">
      <c r="B329"/>
      <c r="C329"/>
      <c r="D329"/>
      <c r="E329"/>
      <c r="F329"/>
      <c r="G329"/>
      <c r="H329"/>
      <c r="I329"/>
      <c r="J329"/>
      <c r="K329"/>
      <c r="L329"/>
      <c r="M329"/>
      <c r="N329"/>
      <c r="O329"/>
    </row>
    <row r="330" spans="2:15" x14ac:dyDescent="0.25">
      <c r="B330"/>
      <c r="C330"/>
      <c r="D330"/>
      <c r="E330"/>
      <c r="F330"/>
      <c r="G330"/>
      <c r="H330"/>
      <c r="I330"/>
      <c r="J330"/>
      <c r="K330"/>
      <c r="L330"/>
      <c r="M330"/>
      <c r="N330"/>
      <c r="O330"/>
    </row>
    <row r="331" spans="2:15" x14ac:dyDescent="0.25">
      <c r="B331"/>
      <c r="C331"/>
      <c r="D331"/>
      <c r="E331"/>
      <c r="F331"/>
      <c r="G331"/>
      <c r="H331"/>
      <c r="I331"/>
      <c r="J331"/>
      <c r="K331"/>
      <c r="L331"/>
      <c r="M331"/>
      <c r="N331"/>
      <c r="O331"/>
    </row>
    <row r="332" spans="2:15" x14ac:dyDescent="0.25">
      <c r="B332"/>
      <c r="C332"/>
      <c r="D332"/>
      <c r="E332"/>
      <c r="F332"/>
      <c r="G332"/>
      <c r="H332"/>
      <c r="I332"/>
      <c r="J332"/>
      <c r="K332"/>
      <c r="L332"/>
      <c r="M332"/>
      <c r="N332"/>
      <c r="O332"/>
    </row>
    <row r="333" spans="2:15" x14ac:dyDescent="0.25">
      <c r="B333"/>
      <c r="C333"/>
      <c r="D333"/>
      <c r="E333"/>
      <c r="F333"/>
      <c r="G333"/>
      <c r="H333"/>
      <c r="I333"/>
      <c r="J333"/>
      <c r="K333"/>
      <c r="L333"/>
      <c r="M333"/>
      <c r="N333"/>
      <c r="O333"/>
    </row>
    <row r="334" spans="2:15" x14ac:dyDescent="0.25">
      <c r="B334"/>
      <c r="C334"/>
      <c r="D334"/>
      <c r="E334"/>
      <c r="F334"/>
      <c r="G334"/>
      <c r="H334"/>
      <c r="I334"/>
      <c r="J334"/>
      <c r="K334"/>
      <c r="L334"/>
      <c r="M334"/>
      <c r="N334"/>
      <c r="O334"/>
    </row>
    <row r="335" spans="2:15" x14ac:dyDescent="0.25">
      <c r="B335"/>
      <c r="C335"/>
      <c r="D335"/>
      <c r="E335"/>
      <c r="F335"/>
      <c r="G335"/>
      <c r="H335"/>
      <c r="I335"/>
      <c r="J335"/>
      <c r="K335"/>
      <c r="L335"/>
      <c r="M335"/>
      <c r="N335"/>
      <c r="O335"/>
    </row>
    <row r="336" spans="2:15" x14ac:dyDescent="0.25">
      <c r="B336"/>
      <c r="C336"/>
      <c r="D336"/>
      <c r="E336"/>
      <c r="F336"/>
      <c r="G336"/>
      <c r="H336"/>
      <c r="I336"/>
      <c r="J336"/>
      <c r="K336"/>
      <c r="L336"/>
      <c r="M336"/>
      <c r="N336"/>
      <c r="O336"/>
    </row>
    <row r="337" spans="2:15" x14ac:dyDescent="0.25">
      <c r="B337"/>
      <c r="C337"/>
      <c r="D337"/>
      <c r="E337"/>
      <c r="F337"/>
      <c r="G337"/>
      <c r="H337"/>
      <c r="I337"/>
      <c r="J337"/>
      <c r="K337"/>
      <c r="L337"/>
      <c r="M337"/>
      <c r="N337"/>
      <c r="O337"/>
    </row>
    <row r="338" spans="2:15" x14ac:dyDescent="0.25">
      <c r="B338"/>
      <c r="C338"/>
      <c r="D338"/>
      <c r="E338"/>
      <c r="F338"/>
      <c r="G338"/>
      <c r="H338"/>
      <c r="I338"/>
      <c r="J338"/>
      <c r="K338"/>
      <c r="L338"/>
      <c r="M338"/>
      <c r="N338"/>
      <c r="O338"/>
    </row>
    <row r="339" spans="2:15" x14ac:dyDescent="0.25">
      <c r="B339"/>
      <c r="C339"/>
      <c r="D339"/>
      <c r="E339"/>
      <c r="F339"/>
      <c r="G339"/>
      <c r="H339"/>
      <c r="I339"/>
      <c r="J339"/>
      <c r="K339"/>
      <c r="L339"/>
      <c r="M339"/>
      <c r="N339"/>
      <c r="O339"/>
    </row>
    <row r="340" spans="2:15" x14ac:dyDescent="0.25">
      <c r="B340"/>
      <c r="C340"/>
      <c r="D340"/>
      <c r="E340"/>
      <c r="F340"/>
      <c r="G340"/>
      <c r="H340"/>
      <c r="I340"/>
      <c r="J340"/>
      <c r="K340"/>
      <c r="L340"/>
      <c r="M340"/>
      <c r="N340"/>
      <c r="O340"/>
    </row>
    <row r="341" spans="2:15" x14ac:dyDescent="0.25">
      <c r="B341"/>
      <c r="C341"/>
      <c r="D341"/>
      <c r="E341"/>
      <c r="F341"/>
      <c r="G341"/>
      <c r="H341"/>
      <c r="I341"/>
      <c r="J341"/>
      <c r="K341"/>
      <c r="L341"/>
      <c r="M341"/>
      <c r="N341"/>
      <c r="O341"/>
    </row>
    <row r="342" spans="2:15" x14ac:dyDescent="0.25">
      <c r="B342"/>
      <c r="C342"/>
      <c r="D342"/>
      <c r="E342"/>
      <c r="F342"/>
      <c r="G342"/>
      <c r="H342"/>
      <c r="I342"/>
      <c r="J342"/>
      <c r="K342"/>
      <c r="L342"/>
      <c r="M342"/>
      <c r="N342"/>
      <c r="O342"/>
    </row>
    <row r="343" spans="2:15" x14ac:dyDescent="0.25">
      <c r="B343"/>
      <c r="C343"/>
      <c r="D343"/>
      <c r="E343"/>
      <c r="F343"/>
      <c r="G343"/>
      <c r="H343"/>
      <c r="I343"/>
      <c r="J343"/>
      <c r="K343"/>
      <c r="L343"/>
      <c r="M343"/>
      <c r="N343"/>
      <c r="O343"/>
    </row>
    <row r="344" spans="2:15" x14ac:dyDescent="0.25">
      <c r="B344"/>
      <c r="C344"/>
      <c r="D344"/>
      <c r="E344"/>
      <c r="F344"/>
      <c r="G344"/>
      <c r="H344"/>
      <c r="I344"/>
      <c r="J344"/>
      <c r="K344"/>
      <c r="L344"/>
      <c r="M344"/>
      <c r="N344"/>
      <c r="O344"/>
    </row>
    <row r="345" spans="2:15" x14ac:dyDescent="0.25">
      <c r="B345"/>
      <c r="C345"/>
      <c r="D345"/>
      <c r="E345"/>
      <c r="F345"/>
      <c r="G345"/>
      <c r="H345"/>
      <c r="I345"/>
      <c r="J345"/>
      <c r="K345"/>
      <c r="L345"/>
      <c r="M345"/>
      <c r="N345"/>
      <c r="O345"/>
    </row>
    <row r="346" spans="2:15" x14ac:dyDescent="0.25">
      <c r="B346"/>
      <c r="C346"/>
      <c r="D346"/>
      <c r="E346"/>
      <c r="F346"/>
      <c r="G346"/>
      <c r="H346"/>
      <c r="I346"/>
      <c r="J346"/>
      <c r="K346"/>
      <c r="L346"/>
      <c r="M346"/>
      <c r="N346"/>
      <c r="O346"/>
    </row>
    <row r="347" spans="2:15" x14ac:dyDescent="0.25">
      <c r="B347"/>
      <c r="C347"/>
      <c r="D347"/>
      <c r="E347"/>
      <c r="F347"/>
      <c r="G347"/>
      <c r="H347"/>
      <c r="I347"/>
      <c r="J347"/>
      <c r="K347"/>
      <c r="L347"/>
      <c r="M347"/>
      <c r="N347"/>
      <c r="O347"/>
    </row>
    <row r="348" spans="2:15" x14ac:dyDescent="0.25">
      <c r="B348"/>
      <c r="C348"/>
      <c r="D348"/>
      <c r="E348"/>
      <c r="F348"/>
      <c r="G348"/>
      <c r="H348"/>
      <c r="I348"/>
      <c r="J348"/>
      <c r="K348"/>
      <c r="L348"/>
      <c r="M348"/>
      <c r="N348"/>
      <c r="O348"/>
    </row>
    <row r="349" spans="2:15" x14ac:dyDescent="0.25">
      <c r="B349"/>
      <c r="C349"/>
      <c r="D349"/>
      <c r="E349"/>
      <c r="F349"/>
      <c r="G349"/>
      <c r="H349"/>
      <c r="I349"/>
      <c r="J349"/>
      <c r="K349"/>
      <c r="L349"/>
      <c r="M349"/>
      <c r="N349"/>
      <c r="O349"/>
    </row>
    <row r="350" spans="2:15" x14ac:dyDescent="0.25">
      <c r="B350"/>
      <c r="C350"/>
      <c r="D350"/>
      <c r="E350"/>
      <c r="F350"/>
      <c r="G350"/>
      <c r="H350"/>
      <c r="I350"/>
      <c r="J350"/>
      <c r="K350"/>
      <c r="L350"/>
      <c r="M350"/>
      <c r="N350"/>
      <c r="O350"/>
    </row>
    <row r="351" spans="2:15" x14ac:dyDescent="0.25">
      <c r="B351"/>
      <c r="C351"/>
      <c r="D351"/>
      <c r="E351"/>
      <c r="F351"/>
      <c r="G351"/>
      <c r="H351"/>
      <c r="I351"/>
      <c r="J351"/>
      <c r="K351"/>
      <c r="L351"/>
      <c r="M351"/>
      <c r="N351"/>
      <c r="O351"/>
    </row>
    <row r="352" spans="2:15" x14ac:dyDescent="0.25">
      <c r="B352"/>
      <c r="C352"/>
      <c r="D352"/>
      <c r="E352"/>
      <c r="F352"/>
      <c r="G352"/>
      <c r="H352"/>
      <c r="I352"/>
      <c r="J352"/>
      <c r="K352"/>
      <c r="L352"/>
      <c r="M352"/>
      <c r="N352"/>
      <c r="O352"/>
    </row>
    <row r="353" spans="2:15" x14ac:dyDescent="0.25">
      <c r="B353"/>
      <c r="C353"/>
      <c r="D353"/>
      <c r="E353"/>
      <c r="F353"/>
      <c r="G353"/>
      <c r="H353"/>
      <c r="I353"/>
      <c r="J353"/>
      <c r="K353"/>
      <c r="L353"/>
      <c r="M353"/>
      <c r="N353"/>
      <c r="O353"/>
    </row>
    <row r="354" spans="2:15" x14ac:dyDescent="0.25">
      <c r="B354"/>
      <c r="C354"/>
      <c r="D354"/>
      <c r="E354"/>
      <c r="F354"/>
      <c r="G354"/>
      <c r="H354"/>
      <c r="I354"/>
      <c r="J354"/>
      <c r="K354"/>
      <c r="L354"/>
      <c r="M354"/>
      <c r="N354"/>
      <c r="O354"/>
    </row>
    <row r="355" spans="2:15" x14ac:dyDescent="0.25">
      <c r="B355"/>
      <c r="C355"/>
      <c r="D355"/>
      <c r="E355"/>
      <c r="F355"/>
      <c r="G355"/>
      <c r="H355"/>
      <c r="I355"/>
      <c r="J355"/>
      <c r="K355"/>
      <c r="L355"/>
      <c r="M355"/>
      <c r="N355"/>
      <c r="O355"/>
    </row>
    <row r="356" spans="2:15" x14ac:dyDescent="0.25">
      <c r="B356"/>
      <c r="C356"/>
      <c r="D356"/>
      <c r="E356"/>
      <c r="F356"/>
      <c r="G356"/>
      <c r="H356"/>
      <c r="I356"/>
      <c r="J356"/>
      <c r="K356"/>
      <c r="L356"/>
      <c r="M356"/>
      <c r="N356"/>
      <c r="O356"/>
    </row>
    <row r="357" spans="2:15" x14ac:dyDescent="0.25">
      <c r="B357"/>
      <c r="C357"/>
      <c r="D357"/>
      <c r="E357"/>
      <c r="F357"/>
      <c r="G357"/>
      <c r="H357"/>
      <c r="I357"/>
      <c r="J357"/>
      <c r="K357"/>
      <c r="L357"/>
      <c r="M357"/>
      <c r="N357"/>
      <c r="O357"/>
    </row>
    <row r="358" spans="2:15" x14ac:dyDescent="0.25">
      <c r="B358"/>
      <c r="C358"/>
      <c r="D358"/>
      <c r="E358"/>
      <c r="F358"/>
      <c r="G358"/>
      <c r="H358"/>
      <c r="I358"/>
      <c r="J358"/>
      <c r="K358"/>
      <c r="L358"/>
      <c r="M358"/>
      <c r="N358"/>
      <c r="O358"/>
    </row>
    <row r="359" spans="2:15" x14ac:dyDescent="0.25">
      <c r="B359"/>
      <c r="C359"/>
      <c r="D359"/>
      <c r="E359"/>
      <c r="F359"/>
      <c r="G359"/>
      <c r="H359"/>
      <c r="I359"/>
      <c r="J359"/>
      <c r="K359"/>
      <c r="L359"/>
      <c r="M359"/>
      <c r="N359"/>
      <c r="O359"/>
    </row>
    <row r="360" spans="2:15" x14ac:dyDescent="0.25">
      <c r="B360"/>
      <c r="C360"/>
      <c r="D360"/>
      <c r="E360"/>
      <c r="F360"/>
      <c r="G360"/>
      <c r="H360"/>
      <c r="I360"/>
      <c r="J360"/>
      <c r="K360"/>
      <c r="L360"/>
      <c r="M360"/>
      <c r="N360"/>
      <c r="O360"/>
    </row>
    <row r="361" spans="2:15" x14ac:dyDescent="0.25">
      <c r="B361"/>
      <c r="C361"/>
      <c r="D361"/>
      <c r="E361"/>
      <c r="F361"/>
      <c r="G361"/>
      <c r="H361"/>
      <c r="I361"/>
      <c r="J361"/>
      <c r="K361"/>
      <c r="L361"/>
      <c r="M361"/>
      <c r="N361"/>
      <c r="O361"/>
    </row>
    <row r="362" spans="2:15" x14ac:dyDescent="0.25">
      <c r="B362"/>
      <c r="C362"/>
      <c r="D362"/>
      <c r="E362"/>
      <c r="F362"/>
      <c r="G362"/>
      <c r="H362"/>
      <c r="I362"/>
      <c r="J362"/>
      <c r="K362"/>
      <c r="L362"/>
      <c r="M362"/>
      <c r="N362"/>
      <c r="O362"/>
    </row>
    <row r="363" spans="2:15" x14ac:dyDescent="0.25">
      <c r="B363"/>
      <c r="C363"/>
      <c r="D363"/>
      <c r="E363"/>
      <c r="F363"/>
      <c r="G363"/>
      <c r="H363"/>
      <c r="I363"/>
      <c r="J363"/>
      <c r="K363"/>
      <c r="L363"/>
      <c r="M363"/>
      <c r="N363"/>
      <c r="O363"/>
    </row>
    <row r="364" spans="2:15" x14ac:dyDescent="0.25">
      <c r="B364"/>
      <c r="C364"/>
      <c r="D364"/>
      <c r="E364"/>
      <c r="F364"/>
      <c r="G364"/>
      <c r="H364"/>
      <c r="I364"/>
      <c r="J364"/>
      <c r="K364"/>
      <c r="L364"/>
      <c r="M364"/>
      <c r="N364"/>
      <c r="O364"/>
    </row>
    <row r="365" spans="2:15" x14ac:dyDescent="0.25">
      <c r="B365"/>
      <c r="C365"/>
      <c r="D365"/>
      <c r="E365"/>
      <c r="F365"/>
      <c r="G365"/>
      <c r="H365"/>
      <c r="I365"/>
      <c r="J365"/>
      <c r="K365"/>
      <c r="L365"/>
      <c r="M365"/>
      <c r="N365"/>
      <c r="O365"/>
    </row>
    <row r="366" spans="2:15" x14ac:dyDescent="0.25">
      <c r="B366"/>
      <c r="C366"/>
      <c r="D366"/>
      <c r="E366"/>
      <c r="F366"/>
      <c r="G366"/>
      <c r="H366"/>
      <c r="I366"/>
      <c r="J366"/>
      <c r="K366"/>
      <c r="L366"/>
      <c r="M366"/>
      <c r="N366"/>
      <c r="O366"/>
    </row>
    <row r="367" spans="2:15" x14ac:dyDescent="0.25">
      <c r="B367"/>
      <c r="C367"/>
      <c r="D367"/>
      <c r="E367"/>
      <c r="F367"/>
      <c r="G367"/>
      <c r="H367"/>
      <c r="I367"/>
      <c r="J367"/>
      <c r="K367"/>
      <c r="L367"/>
      <c r="M367"/>
      <c r="N367"/>
      <c r="O367"/>
    </row>
    <row r="368" spans="2:15" x14ac:dyDescent="0.25">
      <c r="B368"/>
      <c r="C368"/>
      <c r="D368"/>
      <c r="E368"/>
      <c r="F368"/>
      <c r="G368"/>
      <c r="H368"/>
      <c r="I368"/>
      <c r="J368"/>
      <c r="K368"/>
      <c r="L368"/>
      <c r="M368"/>
      <c r="N368"/>
      <c r="O368"/>
    </row>
    <row r="369" spans="2:15" x14ac:dyDescent="0.25">
      <c r="B369"/>
      <c r="C369"/>
      <c r="D369"/>
      <c r="E369"/>
      <c r="F369"/>
      <c r="G369"/>
      <c r="H369"/>
      <c r="I369"/>
      <c r="J369"/>
      <c r="K369"/>
      <c r="L369"/>
      <c r="M369"/>
      <c r="N369"/>
      <c r="O369"/>
    </row>
    <row r="370" spans="2:15" x14ac:dyDescent="0.25">
      <c r="B370"/>
      <c r="C370"/>
      <c r="D370"/>
      <c r="E370"/>
      <c r="F370"/>
      <c r="G370"/>
      <c r="H370"/>
      <c r="I370"/>
      <c r="J370"/>
      <c r="K370"/>
      <c r="L370"/>
      <c r="M370"/>
      <c r="N370"/>
      <c r="O370"/>
    </row>
    <row r="371" spans="2:15" x14ac:dyDescent="0.25">
      <c r="B371"/>
      <c r="C371"/>
      <c r="D371"/>
      <c r="E371"/>
      <c r="F371"/>
      <c r="G371"/>
      <c r="H371"/>
      <c r="I371"/>
      <c r="J371"/>
      <c r="K371"/>
      <c r="L371"/>
      <c r="M371"/>
      <c r="N371"/>
      <c r="O371"/>
    </row>
    <row r="372" spans="2:15" x14ac:dyDescent="0.25">
      <c r="B372"/>
      <c r="C372"/>
      <c r="D372"/>
      <c r="E372"/>
      <c r="F372"/>
      <c r="G372"/>
      <c r="H372"/>
      <c r="I372"/>
      <c r="J372"/>
      <c r="K372"/>
      <c r="L372"/>
      <c r="M372"/>
      <c r="N372"/>
      <c r="O372"/>
    </row>
    <row r="373" spans="2:15" x14ac:dyDescent="0.25">
      <c r="B373"/>
      <c r="C373"/>
      <c r="D373"/>
      <c r="E373"/>
      <c r="F373"/>
      <c r="G373"/>
      <c r="H373"/>
      <c r="I373"/>
      <c r="J373"/>
      <c r="K373"/>
      <c r="L373"/>
      <c r="M373"/>
      <c r="N373"/>
      <c r="O373"/>
    </row>
    <row r="374" spans="2:15" x14ac:dyDescent="0.25">
      <c r="B374"/>
      <c r="C374"/>
      <c r="D374"/>
      <c r="E374"/>
      <c r="F374"/>
      <c r="G374"/>
      <c r="H374"/>
      <c r="I374"/>
      <c r="J374"/>
      <c r="K374"/>
      <c r="L374"/>
      <c r="M374"/>
      <c r="N374"/>
      <c r="O374"/>
    </row>
    <row r="375" spans="2:15" x14ac:dyDescent="0.25">
      <c r="B375"/>
      <c r="C375"/>
      <c r="D375"/>
      <c r="E375"/>
      <c r="F375"/>
      <c r="G375"/>
      <c r="H375"/>
      <c r="I375"/>
      <c r="J375"/>
      <c r="K375"/>
      <c r="L375"/>
      <c r="M375"/>
      <c r="N375"/>
      <c r="O375"/>
    </row>
    <row r="376" spans="2:15" x14ac:dyDescent="0.25">
      <c r="B376"/>
      <c r="C376"/>
      <c r="D376"/>
      <c r="E376"/>
      <c r="F376"/>
      <c r="G376"/>
      <c r="H376"/>
      <c r="I376"/>
      <c r="J376"/>
      <c r="K376"/>
      <c r="L376"/>
      <c r="M376"/>
      <c r="N376"/>
      <c r="O376"/>
    </row>
    <row r="377" spans="2:15" x14ac:dyDescent="0.25">
      <c r="B377"/>
      <c r="C377"/>
      <c r="D377"/>
      <c r="E377"/>
      <c r="F377"/>
      <c r="G377"/>
      <c r="H377"/>
      <c r="I377"/>
      <c r="J377"/>
      <c r="K377"/>
      <c r="L377"/>
      <c r="M377"/>
      <c r="N377"/>
      <c r="O377"/>
    </row>
    <row r="378" spans="2:15" x14ac:dyDescent="0.25">
      <c r="B378"/>
      <c r="C378"/>
      <c r="D378"/>
      <c r="E378"/>
      <c r="F378"/>
      <c r="G378"/>
      <c r="H378"/>
      <c r="I378"/>
      <c r="J378"/>
      <c r="K378"/>
      <c r="L378"/>
      <c r="M378"/>
      <c r="N378"/>
      <c r="O378"/>
    </row>
    <row r="379" spans="2:15" x14ac:dyDescent="0.25">
      <c r="B379"/>
      <c r="C379"/>
      <c r="D379"/>
      <c r="E379"/>
      <c r="F379"/>
      <c r="G379"/>
      <c r="H379"/>
      <c r="I379"/>
      <c r="J379"/>
      <c r="K379"/>
      <c r="L379"/>
      <c r="M379"/>
      <c r="N379"/>
      <c r="O379"/>
    </row>
    <row r="380" spans="2:15" x14ac:dyDescent="0.25">
      <c r="B380"/>
      <c r="C380"/>
      <c r="D380"/>
      <c r="E380"/>
      <c r="F380"/>
      <c r="G380"/>
      <c r="H380"/>
      <c r="I380"/>
      <c r="J380"/>
      <c r="K380"/>
      <c r="L380"/>
      <c r="M380"/>
      <c r="N380"/>
      <c r="O380"/>
    </row>
    <row r="381" spans="2:15" x14ac:dyDescent="0.25">
      <c r="B381"/>
      <c r="C381"/>
      <c r="D381"/>
      <c r="E381"/>
      <c r="F381"/>
      <c r="G381"/>
      <c r="H381"/>
      <c r="I381"/>
      <c r="J381"/>
      <c r="K381"/>
      <c r="L381"/>
      <c r="M381"/>
      <c r="N381"/>
      <c r="O381"/>
    </row>
    <row r="382" spans="2:15" x14ac:dyDescent="0.25">
      <c r="B382"/>
      <c r="C382"/>
      <c r="D382"/>
      <c r="E382"/>
      <c r="F382"/>
      <c r="G382"/>
      <c r="H382"/>
      <c r="I382"/>
      <c r="J382"/>
      <c r="K382"/>
      <c r="L382"/>
      <c r="M382"/>
      <c r="N382"/>
      <c r="O382"/>
    </row>
    <row r="383" spans="2:15" x14ac:dyDescent="0.25">
      <c r="B383"/>
      <c r="C383"/>
      <c r="D383"/>
      <c r="E383"/>
      <c r="F383"/>
      <c r="G383"/>
      <c r="H383"/>
      <c r="I383"/>
      <c r="J383"/>
      <c r="K383"/>
      <c r="L383"/>
      <c r="M383"/>
      <c r="N383"/>
      <c r="O383"/>
    </row>
    <row r="384" spans="2:15" x14ac:dyDescent="0.25">
      <c r="B384"/>
      <c r="C384"/>
      <c r="D384"/>
      <c r="E384"/>
      <c r="F384"/>
      <c r="G384"/>
      <c r="H384"/>
      <c r="I384"/>
      <c r="J384"/>
      <c r="K384"/>
      <c r="L384"/>
      <c r="M384"/>
      <c r="N384"/>
      <c r="O384"/>
    </row>
    <row r="385" spans="2:15" x14ac:dyDescent="0.25">
      <c r="B385"/>
      <c r="C385"/>
      <c r="D385"/>
      <c r="E385"/>
      <c r="F385"/>
      <c r="G385"/>
      <c r="H385"/>
      <c r="I385"/>
      <c r="J385"/>
      <c r="K385"/>
      <c r="L385"/>
      <c r="M385"/>
      <c r="N385"/>
      <c r="O385"/>
    </row>
    <row r="386" spans="2:15" x14ac:dyDescent="0.25">
      <c r="B386"/>
      <c r="C386"/>
      <c r="D386"/>
      <c r="E386"/>
      <c r="F386"/>
      <c r="G386"/>
      <c r="H386"/>
      <c r="I386"/>
      <c r="J386"/>
      <c r="K386"/>
      <c r="L386"/>
      <c r="M386"/>
      <c r="N386"/>
      <c r="O386"/>
    </row>
    <row r="387" spans="2:15" x14ac:dyDescent="0.25">
      <c r="B387"/>
      <c r="C387"/>
      <c r="D387"/>
      <c r="E387"/>
      <c r="F387"/>
      <c r="G387"/>
      <c r="H387"/>
      <c r="I387"/>
      <c r="J387"/>
      <c r="K387"/>
      <c r="L387"/>
      <c r="M387"/>
      <c r="N387"/>
      <c r="O387"/>
    </row>
    <row r="388" spans="2:15" x14ac:dyDescent="0.25">
      <c r="B388"/>
      <c r="C388"/>
      <c r="D388"/>
      <c r="E388"/>
      <c r="F388"/>
      <c r="G388"/>
      <c r="H388"/>
      <c r="I388"/>
      <c r="J388"/>
      <c r="K388"/>
      <c r="L388"/>
      <c r="M388"/>
      <c r="N388"/>
      <c r="O388"/>
    </row>
    <row r="389" spans="2:15" x14ac:dyDescent="0.25">
      <c r="B389"/>
      <c r="C389"/>
      <c r="D389"/>
      <c r="E389"/>
      <c r="F389"/>
      <c r="G389"/>
      <c r="H389"/>
      <c r="I389"/>
      <c r="J389"/>
      <c r="K389"/>
      <c r="L389"/>
      <c r="M389"/>
      <c r="N389"/>
      <c r="O389"/>
    </row>
    <row r="390" spans="2:15" x14ac:dyDescent="0.25">
      <c r="B390"/>
      <c r="C390"/>
      <c r="D390"/>
      <c r="E390"/>
      <c r="F390"/>
      <c r="G390"/>
      <c r="H390"/>
      <c r="I390"/>
      <c r="J390"/>
      <c r="K390"/>
      <c r="L390"/>
      <c r="M390"/>
      <c r="N390"/>
      <c r="O390"/>
    </row>
    <row r="391" spans="2:15" x14ac:dyDescent="0.25">
      <c r="B391"/>
      <c r="C391"/>
      <c r="D391"/>
      <c r="E391"/>
      <c r="F391"/>
      <c r="G391"/>
      <c r="H391"/>
      <c r="I391"/>
      <c r="J391"/>
      <c r="K391"/>
      <c r="L391"/>
      <c r="M391"/>
      <c r="N391"/>
      <c r="O391"/>
    </row>
    <row r="392" spans="2:15" x14ac:dyDescent="0.25">
      <c r="B392"/>
      <c r="C392"/>
      <c r="D392"/>
      <c r="E392"/>
      <c r="F392"/>
      <c r="G392"/>
      <c r="H392"/>
      <c r="I392"/>
      <c r="J392"/>
      <c r="K392"/>
      <c r="L392"/>
      <c r="M392"/>
      <c r="N392"/>
      <c r="O392"/>
    </row>
    <row r="393" spans="2:15" x14ac:dyDescent="0.25">
      <c r="B393"/>
      <c r="C393"/>
      <c r="D393"/>
      <c r="E393"/>
      <c r="F393"/>
      <c r="G393"/>
      <c r="H393"/>
      <c r="I393"/>
      <c r="J393"/>
      <c r="K393"/>
      <c r="L393"/>
      <c r="M393"/>
      <c r="N393"/>
      <c r="O393"/>
    </row>
    <row r="394" spans="2:15" x14ac:dyDescent="0.25">
      <c r="B394"/>
      <c r="C394"/>
      <c r="D394"/>
      <c r="E394"/>
      <c r="F394"/>
      <c r="G394"/>
      <c r="H394"/>
      <c r="I394"/>
      <c r="J394"/>
      <c r="K394"/>
      <c r="L394"/>
      <c r="M394"/>
      <c r="N394"/>
      <c r="O394"/>
    </row>
    <row r="395" spans="2:15" x14ac:dyDescent="0.25">
      <c r="B395"/>
      <c r="C395"/>
      <c r="D395"/>
      <c r="E395"/>
      <c r="F395"/>
      <c r="G395"/>
      <c r="H395"/>
      <c r="I395"/>
      <c r="J395"/>
      <c r="K395"/>
      <c r="L395"/>
      <c r="M395"/>
      <c r="N395"/>
      <c r="O395"/>
    </row>
    <row r="396" spans="2:15" x14ac:dyDescent="0.25">
      <c r="B396"/>
      <c r="C396"/>
      <c r="D396"/>
      <c r="E396"/>
      <c r="F396"/>
      <c r="G396"/>
      <c r="H396"/>
      <c r="I396"/>
      <c r="J396"/>
      <c r="K396"/>
      <c r="L396"/>
      <c r="M396"/>
      <c r="N396"/>
      <c r="O396"/>
    </row>
    <row r="397" spans="2:15" x14ac:dyDescent="0.25">
      <c r="B397"/>
      <c r="C397"/>
      <c r="D397"/>
      <c r="E397"/>
      <c r="F397"/>
      <c r="G397"/>
      <c r="H397"/>
      <c r="I397"/>
      <c r="J397"/>
      <c r="K397"/>
      <c r="L397"/>
      <c r="M397"/>
      <c r="N397"/>
      <c r="O397"/>
    </row>
    <row r="398" spans="2:15" x14ac:dyDescent="0.25">
      <c r="B398"/>
      <c r="C398"/>
      <c r="D398"/>
      <c r="E398"/>
      <c r="F398"/>
      <c r="G398"/>
      <c r="H398"/>
      <c r="I398"/>
      <c r="J398"/>
      <c r="K398"/>
      <c r="L398"/>
      <c r="M398"/>
      <c r="N398"/>
      <c r="O398"/>
    </row>
    <row r="399" spans="2:15" x14ac:dyDescent="0.25">
      <c r="B399"/>
      <c r="C399"/>
      <c r="D399"/>
      <c r="E399"/>
      <c r="F399"/>
      <c r="G399"/>
      <c r="H399"/>
      <c r="I399"/>
      <c r="J399"/>
      <c r="K399"/>
      <c r="L399"/>
      <c r="M399"/>
      <c r="N399"/>
      <c r="O399"/>
    </row>
    <row r="400" spans="2:15" x14ac:dyDescent="0.25">
      <c r="B400"/>
      <c r="C400"/>
      <c r="D400"/>
      <c r="E400"/>
      <c r="F400"/>
      <c r="G400"/>
      <c r="H400"/>
      <c r="I400"/>
      <c r="J400"/>
      <c r="K400"/>
      <c r="L400"/>
      <c r="M400"/>
      <c r="N400"/>
      <c r="O400"/>
    </row>
    <row r="401" spans="2:15" x14ac:dyDescent="0.25">
      <c r="B401"/>
      <c r="C401"/>
      <c r="D401"/>
      <c r="E401"/>
      <c r="F401"/>
      <c r="G401"/>
      <c r="H401"/>
      <c r="I401"/>
      <c r="J401"/>
      <c r="K401"/>
      <c r="L401"/>
      <c r="M401"/>
      <c r="N401"/>
      <c r="O401"/>
    </row>
    <row r="402" spans="2:15" x14ac:dyDescent="0.25">
      <c r="B402"/>
      <c r="C402"/>
      <c r="D402"/>
      <c r="E402"/>
      <c r="F402"/>
      <c r="G402"/>
      <c r="H402"/>
      <c r="I402"/>
      <c r="J402"/>
      <c r="K402"/>
      <c r="L402"/>
      <c r="M402"/>
      <c r="N402"/>
      <c r="O402"/>
    </row>
    <row r="403" spans="2:15" x14ac:dyDescent="0.25">
      <c r="B403"/>
      <c r="C403"/>
      <c r="D403"/>
      <c r="E403"/>
      <c r="F403"/>
      <c r="G403"/>
      <c r="H403"/>
      <c r="I403"/>
      <c r="J403"/>
      <c r="K403"/>
      <c r="L403"/>
      <c r="M403"/>
      <c r="N403"/>
      <c r="O403"/>
    </row>
    <row r="404" spans="2:15" x14ac:dyDescent="0.25">
      <c r="B404"/>
      <c r="C404"/>
      <c r="D404"/>
      <c r="E404"/>
      <c r="F404"/>
      <c r="G404"/>
      <c r="H404"/>
      <c r="I404"/>
      <c r="J404"/>
      <c r="K404"/>
      <c r="L404"/>
      <c r="M404"/>
      <c r="N404"/>
      <c r="O404"/>
    </row>
    <row r="405" spans="2:15" x14ac:dyDescent="0.25">
      <c r="B405"/>
      <c r="C405"/>
      <c r="D405"/>
      <c r="E405"/>
      <c r="F405"/>
      <c r="G405"/>
      <c r="H405"/>
      <c r="I405"/>
      <c r="J405"/>
      <c r="K405"/>
      <c r="L405"/>
      <c r="M405"/>
      <c r="N405"/>
      <c r="O405"/>
    </row>
    <row r="406" spans="2:15" x14ac:dyDescent="0.25">
      <c r="B406"/>
      <c r="C406"/>
      <c r="D406"/>
      <c r="E406"/>
      <c r="F406"/>
      <c r="G406"/>
      <c r="H406"/>
      <c r="I406"/>
      <c r="J406"/>
      <c r="K406"/>
      <c r="L406"/>
      <c r="M406"/>
      <c r="N406"/>
      <c r="O406"/>
    </row>
    <row r="407" spans="2:15" x14ac:dyDescent="0.25">
      <c r="B407"/>
      <c r="C407"/>
      <c r="D407"/>
      <c r="E407"/>
      <c r="F407"/>
      <c r="G407"/>
      <c r="H407"/>
      <c r="I407"/>
      <c r="J407"/>
      <c r="K407"/>
      <c r="L407"/>
      <c r="M407"/>
      <c r="N407"/>
      <c r="O407"/>
    </row>
    <row r="408" spans="2:15" x14ac:dyDescent="0.25">
      <c r="B408"/>
      <c r="C408"/>
      <c r="D408"/>
      <c r="E408"/>
      <c r="F408"/>
      <c r="G408"/>
      <c r="H408"/>
      <c r="I408"/>
      <c r="J408"/>
      <c r="K408"/>
      <c r="L408"/>
      <c r="M408"/>
      <c r="N408"/>
      <c r="O408"/>
    </row>
    <row r="409" spans="2:15" x14ac:dyDescent="0.25">
      <c r="B409"/>
      <c r="C409"/>
      <c r="D409"/>
      <c r="E409"/>
      <c r="F409"/>
      <c r="G409"/>
      <c r="H409"/>
      <c r="I409"/>
      <c r="J409"/>
      <c r="K409"/>
      <c r="L409"/>
      <c r="M409"/>
      <c r="N409"/>
      <c r="O409"/>
    </row>
    <row r="410" spans="2:15" x14ac:dyDescent="0.25">
      <c r="B410"/>
      <c r="C410"/>
      <c r="D410"/>
      <c r="E410"/>
      <c r="F410"/>
      <c r="G410"/>
      <c r="H410"/>
      <c r="I410"/>
      <c r="J410"/>
      <c r="K410"/>
      <c r="L410"/>
      <c r="M410"/>
      <c r="N410"/>
      <c r="O410"/>
    </row>
    <row r="411" spans="2:15" x14ac:dyDescent="0.25">
      <c r="B411"/>
      <c r="C411"/>
      <c r="D411"/>
      <c r="E411"/>
      <c r="F411"/>
      <c r="G411"/>
      <c r="H411"/>
      <c r="I411"/>
      <c r="J411"/>
      <c r="K411"/>
      <c r="L411"/>
      <c r="M411"/>
      <c r="N411"/>
      <c r="O411"/>
    </row>
    <row r="412" spans="2:15" x14ac:dyDescent="0.25">
      <c r="B412"/>
      <c r="C412"/>
      <c r="D412"/>
      <c r="E412"/>
      <c r="F412"/>
      <c r="G412"/>
      <c r="H412"/>
      <c r="I412"/>
      <c r="J412"/>
      <c r="K412"/>
      <c r="L412"/>
      <c r="M412"/>
      <c r="N412"/>
      <c r="O412"/>
    </row>
    <row r="413" spans="2:15" x14ac:dyDescent="0.25">
      <c r="B413"/>
      <c r="C413"/>
      <c r="D413"/>
      <c r="E413"/>
      <c r="F413"/>
      <c r="G413"/>
      <c r="H413"/>
      <c r="I413"/>
      <c r="J413"/>
      <c r="K413"/>
      <c r="L413"/>
      <c r="M413"/>
      <c r="N413"/>
      <c r="O413"/>
    </row>
    <row r="414" spans="2:15" x14ac:dyDescent="0.25">
      <c r="B414"/>
      <c r="C414"/>
      <c r="D414"/>
      <c r="E414"/>
      <c r="F414"/>
      <c r="G414"/>
      <c r="H414"/>
      <c r="I414"/>
      <c r="J414"/>
      <c r="K414"/>
      <c r="L414"/>
      <c r="M414"/>
      <c r="N414"/>
      <c r="O414"/>
    </row>
    <row r="415" spans="2:15" x14ac:dyDescent="0.25">
      <c r="B415"/>
      <c r="C415"/>
      <c r="D415"/>
      <c r="E415"/>
      <c r="F415"/>
      <c r="G415"/>
      <c r="H415"/>
      <c r="I415"/>
      <c r="J415"/>
      <c r="K415"/>
      <c r="L415"/>
      <c r="M415"/>
      <c r="N415"/>
      <c r="O415"/>
    </row>
    <row r="416" spans="2:15" x14ac:dyDescent="0.25">
      <c r="B416"/>
      <c r="C416"/>
      <c r="D416"/>
      <c r="E416"/>
      <c r="F416"/>
      <c r="G416"/>
      <c r="H416"/>
      <c r="I416"/>
      <c r="J416"/>
      <c r="K416"/>
      <c r="L416"/>
      <c r="M416"/>
      <c r="N416"/>
      <c r="O416"/>
    </row>
    <row r="417" spans="2:15" x14ac:dyDescent="0.25">
      <c r="B417"/>
      <c r="C417"/>
      <c r="D417"/>
      <c r="E417"/>
      <c r="F417"/>
      <c r="G417"/>
      <c r="H417"/>
      <c r="I417"/>
      <c r="J417"/>
      <c r="K417"/>
      <c r="L417"/>
      <c r="M417"/>
      <c r="N417"/>
      <c r="O417"/>
    </row>
    <row r="418" spans="2:15" x14ac:dyDescent="0.25">
      <c r="B418"/>
      <c r="C418"/>
      <c r="D418"/>
      <c r="E418"/>
      <c r="F418"/>
      <c r="G418"/>
      <c r="H418"/>
      <c r="I418"/>
      <c r="J418"/>
      <c r="K418"/>
      <c r="L418"/>
      <c r="M418"/>
      <c r="N418"/>
      <c r="O418"/>
    </row>
    <row r="419" spans="2:15" x14ac:dyDescent="0.25">
      <c r="B419"/>
      <c r="C419"/>
      <c r="D419"/>
      <c r="E419"/>
      <c r="F419"/>
      <c r="G419"/>
      <c r="H419"/>
      <c r="I419"/>
      <c r="J419"/>
      <c r="K419"/>
      <c r="L419"/>
      <c r="M419"/>
      <c r="N419"/>
      <c r="O419"/>
    </row>
    <row r="420" spans="2:15" x14ac:dyDescent="0.25">
      <c r="B420"/>
      <c r="C420"/>
      <c r="D420"/>
      <c r="E420"/>
      <c r="F420"/>
      <c r="G420"/>
      <c r="H420"/>
      <c r="I420"/>
      <c r="J420"/>
      <c r="K420"/>
      <c r="L420"/>
      <c r="M420"/>
      <c r="N420"/>
      <c r="O420"/>
    </row>
    <row r="421" spans="2:15" x14ac:dyDescent="0.25">
      <c r="B421"/>
      <c r="C421"/>
      <c r="D421"/>
      <c r="E421"/>
      <c r="F421"/>
      <c r="G421"/>
      <c r="H421"/>
      <c r="I421"/>
      <c r="J421"/>
      <c r="K421"/>
      <c r="L421"/>
      <c r="M421"/>
      <c r="N421"/>
      <c r="O421"/>
    </row>
    <row r="422" spans="2:15" x14ac:dyDescent="0.25">
      <c r="B422"/>
      <c r="C422"/>
      <c r="D422"/>
      <c r="E422"/>
      <c r="F422"/>
      <c r="G422"/>
      <c r="H422"/>
      <c r="I422"/>
      <c r="J422"/>
      <c r="K422"/>
      <c r="L422"/>
      <c r="M422"/>
      <c r="N422"/>
      <c r="O422"/>
    </row>
    <row r="423" spans="2:15" x14ac:dyDescent="0.25">
      <c r="B423"/>
      <c r="C423"/>
      <c r="D423"/>
      <c r="E423"/>
      <c r="F423"/>
      <c r="G423"/>
      <c r="H423"/>
      <c r="I423"/>
      <c r="J423"/>
      <c r="K423"/>
      <c r="L423"/>
      <c r="M423"/>
      <c r="N423"/>
      <c r="O423"/>
    </row>
    <row r="424" spans="2:15" x14ac:dyDescent="0.25">
      <c r="B424"/>
      <c r="C424"/>
      <c r="D424"/>
      <c r="E424"/>
      <c r="F424"/>
      <c r="G424"/>
      <c r="H424"/>
      <c r="I424"/>
      <c r="J424"/>
      <c r="K424"/>
      <c r="L424"/>
      <c r="M424"/>
      <c r="N424"/>
      <c r="O424"/>
    </row>
    <row r="425" spans="2:15" x14ac:dyDescent="0.25">
      <c r="B425"/>
      <c r="C425"/>
      <c r="D425"/>
      <c r="E425"/>
      <c r="F425"/>
      <c r="G425"/>
      <c r="H425"/>
      <c r="I425"/>
      <c r="J425"/>
      <c r="K425"/>
      <c r="L425"/>
      <c r="M425"/>
      <c r="N425"/>
      <c r="O425"/>
    </row>
    <row r="426" spans="2:15" x14ac:dyDescent="0.25">
      <c r="B426"/>
      <c r="C426"/>
      <c r="D426"/>
      <c r="E426"/>
      <c r="F426"/>
      <c r="G426"/>
      <c r="H426"/>
      <c r="I426"/>
      <c r="J426"/>
      <c r="K426"/>
      <c r="L426"/>
      <c r="M426"/>
      <c r="N426"/>
      <c r="O426"/>
    </row>
    <row r="427" spans="2:15" x14ac:dyDescent="0.25">
      <c r="B427"/>
      <c r="C427"/>
      <c r="D427"/>
      <c r="E427"/>
      <c r="F427"/>
      <c r="G427"/>
      <c r="H427"/>
      <c r="I427"/>
      <c r="J427"/>
      <c r="K427"/>
      <c r="L427"/>
      <c r="M427"/>
      <c r="N427"/>
      <c r="O427"/>
    </row>
    <row r="428" spans="2:15" x14ac:dyDescent="0.25">
      <c r="B428"/>
      <c r="C428"/>
      <c r="D428"/>
      <c r="E428"/>
      <c r="F428"/>
      <c r="G428"/>
      <c r="H428"/>
      <c r="I428"/>
      <c r="J428"/>
      <c r="K428"/>
      <c r="L428"/>
      <c r="M428"/>
      <c r="N428"/>
      <c r="O428"/>
    </row>
    <row r="429" spans="2:15" x14ac:dyDescent="0.25">
      <c r="B429"/>
      <c r="C429"/>
      <c r="D429"/>
      <c r="E429"/>
      <c r="F429"/>
      <c r="G429"/>
      <c r="H429"/>
      <c r="I429"/>
      <c r="J429"/>
      <c r="K429"/>
      <c r="L429"/>
      <c r="M429"/>
      <c r="N429"/>
      <c r="O429"/>
    </row>
    <row r="430" spans="2:15" x14ac:dyDescent="0.25">
      <c r="B430"/>
      <c r="C430"/>
      <c r="D430"/>
      <c r="E430"/>
      <c r="F430"/>
      <c r="G430"/>
      <c r="H430"/>
      <c r="I430"/>
      <c r="J430"/>
      <c r="K430"/>
      <c r="L430"/>
      <c r="M430"/>
      <c r="N430"/>
      <c r="O430"/>
    </row>
    <row r="431" spans="2:15" x14ac:dyDescent="0.25">
      <c r="B431"/>
      <c r="C431"/>
      <c r="D431"/>
      <c r="E431"/>
      <c r="F431"/>
      <c r="G431"/>
      <c r="H431"/>
      <c r="I431"/>
      <c r="J431"/>
      <c r="K431"/>
      <c r="L431"/>
      <c r="M431"/>
      <c r="N431"/>
      <c r="O431"/>
    </row>
    <row r="432" spans="2:15" x14ac:dyDescent="0.25">
      <c r="B432"/>
      <c r="C432"/>
      <c r="D432"/>
      <c r="E432"/>
      <c r="F432"/>
      <c r="G432"/>
      <c r="H432"/>
      <c r="I432"/>
      <c r="J432"/>
      <c r="K432"/>
      <c r="L432"/>
      <c r="M432"/>
      <c r="N432"/>
      <c r="O432"/>
    </row>
    <row r="433" spans="2:15" x14ac:dyDescent="0.25">
      <c r="B433"/>
      <c r="C433"/>
      <c r="D433"/>
      <c r="E433"/>
      <c r="F433"/>
      <c r="G433"/>
      <c r="H433"/>
      <c r="I433"/>
      <c r="J433"/>
      <c r="K433"/>
      <c r="L433"/>
      <c r="M433"/>
      <c r="N433"/>
      <c r="O433"/>
    </row>
    <row r="434" spans="2:15" x14ac:dyDescent="0.25">
      <c r="B434"/>
      <c r="C434"/>
      <c r="D434"/>
      <c r="E434"/>
      <c r="F434"/>
      <c r="G434"/>
      <c r="H434"/>
      <c r="I434"/>
      <c r="J434"/>
      <c r="K434"/>
      <c r="L434"/>
      <c r="M434"/>
      <c r="N434"/>
      <c r="O434"/>
    </row>
    <row r="435" spans="2:15" x14ac:dyDescent="0.25">
      <c r="B435"/>
      <c r="C435"/>
      <c r="D435"/>
      <c r="E435"/>
      <c r="F435"/>
      <c r="G435"/>
      <c r="H435"/>
      <c r="I435"/>
      <c r="J435"/>
      <c r="K435"/>
      <c r="L435"/>
      <c r="M435"/>
      <c r="N435"/>
      <c r="O435"/>
    </row>
    <row r="436" spans="2:15" x14ac:dyDescent="0.25">
      <c r="B436"/>
      <c r="C436"/>
      <c r="D436"/>
      <c r="E436"/>
      <c r="F436"/>
      <c r="G436"/>
      <c r="H436"/>
      <c r="I436"/>
      <c r="J436"/>
      <c r="K436"/>
      <c r="L436"/>
      <c r="M436"/>
      <c r="N436"/>
      <c r="O436"/>
    </row>
    <row r="437" spans="2:15" x14ac:dyDescent="0.25">
      <c r="B437"/>
      <c r="C437"/>
      <c r="D437"/>
      <c r="E437"/>
      <c r="F437"/>
      <c r="G437"/>
      <c r="H437"/>
      <c r="I437"/>
      <c r="J437"/>
      <c r="K437"/>
      <c r="L437"/>
      <c r="M437"/>
      <c r="N437"/>
      <c r="O437"/>
    </row>
    <row r="438" spans="2:15" x14ac:dyDescent="0.25">
      <c r="B438"/>
      <c r="C438"/>
      <c r="D438"/>
      <c r="E438"/>
      <c r="F438"/>
      <c r="G438"/>
      <c r="H438"/>
      <c r="I438"/>
      <c r="J438"/>
      <c r="K438"/>
      <c r="L438"/>
      <c r="M438"/>
      <c r="N438"/>
      <c r="O438"/>
    </row>
    <row r="439" spans="2:15" x14ac:dyDescent="0.25">
      <c r="B439"/>
      <c r="C439"/>
      <c r="D439"/>
      <c r="E439"/>
      <c r="F439"/>
      <c r="G439"/>
      <c r="H439"/>
      <c r="I439"/>
      <c r="J439"/>
      <c r="K439"/>
      <c r="L439"/>
      <c r="M439"/>
      <c r="N439"/>
      <c r="O439"/>
    </row>
    <row r="440" spans="2:15" x14ac:dyDescent="0.25">
      <c r="B440"/>
      <c r="C440"/>
      <c r="D440"/>
      <c r="E440"/>
      <c r="F440"/>
      <c r="G440"/>
      <c r="H440"/>
      <c r="I440"/>
      <c r="J440"/>
      <c r="K440"/>
      <c r="L440"/>
      <c r="M440"/>
      <c r="N440"/>
      <c r="O440"/>
    </row>
    <row r="441" spans="2:15" x14ac:dyDescent="0.25">
      <c r="B441"/>
      <c r="C441"/>
      <c r="D441"/>
      <c r="E441"/>
      <c r="F441"/>
      <c r="G441"/>
      <c r="H441"/>
      <c r="I441"/>
      <c r="J441"/>
      <c r="K441"/>
      <c r="L441"/>
      <c r="M441"/>
      <c r="N441"/>
      <c r="O441"/>
    </row>
    <row r="442" spans="2:15" x14ac:dyDescent="0.25">
      <c r="B442"/>
      <c r="C442"/>
      <c r="D442"/>
      <c r="E442"/>
      <c r="F442"/>
      <c r="G442"/>
      <c r="H442"/>
      <c r="I442"/>
      <c r="J442"/>
      <c r="K442"/>
      <c r="L442"/>
      <c r="M442"/>
      <c r="N442"/>
      <c r="O442"/>
    </row>
    <row r="443" spans="2:15" x14ac:dyDescent="0.25">
      <c r="B443"/>
      <c r="C443"/>
      <c r="D443"/>
      <c r="E443"/>
      <c r="F443"/>
      <c r="G443"/>
      <c r="H443"/>
      <c r="I443"/>
      <c r="J443"/>
      <c r="K443"/>
      <c r="L443"/>
      <c r="M443"/>
      <c r="N443"/>
      <c r="O443"/>
    </row>
    <row r="444" spans="2:15" x14ac:dyDescent="0.25">
      <c r="B444"/>
      <c r="C444"/>
      <c r="D444"/>
      <c r="E444"/>
      <c r="F444"/>
      <c r="G444"/>
      <c r="H444"/>
      <c r="I444"/>
      <c r="J444"/>
      <c r="K444"/>
      <c r="L444"/>
      <c r="M444"/>
      <c r="N444"/>
      <c r="O444"/>
    </row>
    <row r="445" spans="2:15" x14ac:dyDescent="0.25">
      <c r="B445"/>
      <c r="C445"/>
      <c r="D445"/>
      <c r="E445"/>
      <c r="F445"/>
      <c r="G445"/>
      <c r="H445"/>
      <c r="I445"/>
      <c r="J445"/>
      <c r="K445"/>
      <c r="L445"/>
      <c r="M445"/>
      <c r="N445"/>
      <c r="O445"/>
    </row>
    <row r="446" spans="2:15" x14ac:dyDescent="0.25">
      <c r="B446"/>
      <c r="C446"/>
      <c r="D446"/>
      <c r="E446"/>
      <c r="F446"/>
      <c r="G446"/>
      <c r="H446"/>
      <c r="I446"/>
      <c r="J446"/>
      <c r="K446"/>
      <c r="L446"/>
      <c r="M446"/>
      <c r="N446"/>
      <c r="O446"/>
    </row>
    <row r="447" spans="2:15" x14ac:dyDescent="0.25">
      <c r="B447"/>
      <c r="C447"/>
      <c r="D447"/>
      <c r="E447"/>
      <c r="F447"/>
      <c r="G447"/>
      <c r="H447"/>
      <c r="I447"/>
      <c r="J447"/>
      <c r="K447"/>
      <c r="L447"/>
      <c r="M447"/>
      <c r="N447"/>
      <c r="O447"/>
    </row>
    <row r="448" spans="2:15" x14ac:dyDescent="0.25">
      <c r="B448"/>
      <c r="C448"/>
      <c r="D448"/>
      <c r="E448"/>
      <c r="F448"/>
      <c r="G448"/>
      <c r="H448"/>
      <c r="I448"/>
      <c r="J448"/>
      <c r="K448"/>
      <c r="L448"/>
      <c r="M448"/>
      <c r="N448"/>
      <c r="O448"/>
    </row>
    <row r="449" spans="2:15" x14ac:dyDescent="0.25">
      <c r="B449"/>
      <c r="C449"/>
      <c r="D449"/>
      <c r="E449"/>
      <c r="F449"/>
      <c r="G449"/>
      <c r="H449"/>
      <c r="I449"/>
      <c r="J449"/>
      <c r="K449"/>
      <c r="L449"/>
      <c r="M449"/>
      <c r="N449"/>
      <c r="O449"/>
    </row>
    <row r="450" spans="2:15" x14ac:dyDescent="0.25">
      <c r="B450"/>
      <c r="C450"/>
      <c r="D450"/>
      <c r="E450"/>
      <c r="F450"/>
      <c r="G450"/>
      <c r="H450"/>
      <c r="I450"/>
      <c r="J450"/>
      <c r="K450"/>
      <c r="L450"/>
      <c r="M450"/>
      <c r="N450"/>
      <c r="O450"/>
    </row>
    <row r="451" spans="2:15" x14ac:dyDescent="0.25">
      <c r="B451"/>
      <c r="C451"/>
      <c r="D451"/>
      <c r="E451"/>
      <c r="F451"/>
      <c r="G451"/>
      <c r="H451"/>
      <c r="I451"/>
      <c r="J451"/>
      <c r="K451"/>
      <c r="L451"/>
      <c r="M451"/>
      <c r="N451"/>
      <c r="O451"/>
    </row>
    <row r="452" spans="2:15" x14ac:dyDescent="0.25">
      <c r="B452"/>
      <c r="C452"/>
      <c r="D452"/>
      <c r="E452"/>
      <c r="F452"/>
      <c r="G452"/>
      <c r="H452"/>
      <c r="I452"/>
      <c r="J452"/>
      <c r="K452"/>
      <c r="L452"/>
      <c r="M452"/>
      <c r="N452"/>
      <c r="O452"/>
    </row>
    <row r="453" spans="2:15" x14ac:dyDescent="0.25">
      <c r="B453"/>
      <c r="C453"/>
      <c r="D453"/>
      <c r="E453"/>
      <c r="F453"/>
      <c r="G453"/>
      <c r="H453"/>
      <c r="I453"/>
      <c r="J453"/>
      <c r="K453"/>
      <c r="L453"/>
      <c r="M453"/>
      <c r="N453"/>
      <c r="O453"/>
    </row>
    <row r="454" spans="2:15" x14ac:dyDescent="0.25">
      <c r="B454"/>
      <c r="C454"/>
      <c r="D454"/>
      <c r="E454"/>
      <c r="F454"/>
      <c r="G454"/>
      <c r="H454"/>
      <c r="I454"/>
      <c r="J454"/>
      <c r="K454"/>
      <c r="L454"/>
      <c r="M454"/>
      <c r="N454"/>
      <c r="O454"/>
    </row>
    <row r="455" spans="2:15" x14ac:dyDescent="0.25">
      <c r="B455"/>
      <c r="C455"/>
      <c r="D455"/>
      <c r="E455"/>
      <c r="F455"/>
      <c r="G455"/>
      <c r="H455"/>
      <c r="I455"/>
      <c r="J455"/>
      <c r="K455"/>
      <c r="L455"/>
      <c r="M455"/>
      <c r="N455"/>
      <c r="O455"/>
    </row>
    <row r="456" spans="2:15" x14ac:dyDescent="0.25">
      <c r="B456"/>
      <c r="C456"/>
      <c r="D456"/>
      <c r="E456"/>
      <c r="F456"/>
      <c r="G456"/>
      <c r="H456"/>
      <c r="I456"/>
      <c r="J456"/>
      <c r="K456"/>
      <c r="L456"/>
      <c r="M456"/>
      <c r="N456"/>
      <c r="O456"/>
    </row>
    <row r="457" spans="2:15" x14ac:dyDescent="0.25">
      <c r="B457"/>
      <c r="C457"/>
      <c r="D457"/>
      <c r="E457"/>
      <c r="F457"/>
      <c r="G457"/>
      <c r="H457"/>
      <c r="I457"/>
      <c r="J457"/>
      <c r="K457"/>
      <c r="L457"/>
      <c r="M457"/>
      <c r="N457"/>
      <c r="O457"/>
    </row>
    <row r="458" spans="2:15" x14ac:dyDescent="0.25">
      <c r="B458"/>
      <c r="C458"/>
      <c r="D458"/>
      <c r="E458"/>
      <c r="F458"/>
      <c r="G458"/>
      <c r="H458"/>
      <c r="I458"/>
      <c r="J458"/>
      <c r="K458"/>
      <c r="L458"/>
      <c r="M458"/>
      <c r="N458"/>
      <c r="O458"/>
    </row>
    <row r="459" spans="2:15" x14ac:dyDescent="0.25">
      <c r="B459"/>
      <c r="C459"/>
      <c r="D459"/>
      <c r="E459"/>
      <c r="F459"/>
      <c r="G459"/>
      <c r="H459"/>
      <c r="I459"/>
      <c r="J459"/>
      <c r="K459"/>
      <c r="L459"/>
      <c r="M459"/>
      <c r="N459"/>
      <c r="O459"/>
    </row>
    <row r="460" spans="2:15" x14ac:dyDescent="0.25">
      <c r="B460"/>
      <c r="C460"/>
      <c r="D460"/>
      <c r="E460"/>
      <c r="F460"/>
      <c r="G460"/>
      <c r="H460"/>
      <c r="I460"/>
      <c r="J460"/>
      <c r="K460"/>
      <c r="L460"/>
      <c r="M460"/>
      <c r="N460"/>
      <c r="O460"/>
    </row>
    <row r="461" spans="2:15" x14ac:dyDescent="0.25">
      <c r="B461"/>
      <c r="C461"/>
      <c r="D461"/>
      <c r="E461"/>
      <c r="F461"/>
      <c r="G461"/>
      <c r="H461"/>
      <c r="I461"/>
      <c r="J461"/>
      <c r="K461"/>
      <c r="L461"/>
      <c r="M461"/>
      <c r="N461"/>
      <c r="O461"/>
    </row>
    <row r="462" spans="2:15" x14ac:dyDescent="0.25">
      <c r="B462"/>
      <c r="C462"/>
      <c r="D462"/>
      <c r="E462"/>
      <c r="F462"/>
      <c r="G462"/>
      <c r="H462"/>
      <c r="I462"/>
      <c r="J462"/>
      <c r="K462"/>
      <c r="L462"/>
      <c r="M462"/>
      <c r="N462"/>
      <c r="O462"/>
    </row>
    <row r="463" spans="2:15" x14ac:dyDescent="0.25">
      <c r="B463"/>
      <c r="C463"/>
      <c r="D463"/>
      <c r="E463"/>
      <c r="F463"/>
      <c r="G463"/>
      <c r="H463"/>
      <c r="I463"/>
      <c r="J463"/>
      <c r="K463"/>
      <c r="L463"/>
      <c r="M463"/>
      <c r="N463"/>
      <c r="O463"/>
    </row>
    <row r="464" spans="2:15" x14ac:dyDescent="0.25">
      <c r="B464"/>
      <c r="C464"/>
      <c r="D464"/>
      <c r="E464"/>
      <c r="F464"/>
      <c r="G464"/>
      <c r="H464"/>
      <c r="I464"/>
      <c r="J464"/>
      <c r="K464"/>
      <c r="L464"/>
      <c r="M464"/>
      <c r="N464"/>
      <c r="O464"/>
    </row>
    <row r="465" spans="2:15" x14ac:dyDescent="0.25">
      <c r="B465"/>
      <c r="C465"/>
      <c r="D465"/>
      <c r="E465"/>
      <c r="F465"/>
      <c r="G465"/>
      <c r="H465"/>
      <c r="I465"/>
      <c r="J465"/>
      <c r="K465"/>
      <c r="L465"/>
      <c r="M465"/>
      <c r="N465"/>
      <c r="O465"/>
    </row>
    <row r="466" spans="2:15" x14ac:dyDescent="0.25">
      <c r="B466"/>
      <c r="C466"/>
      <c r="D466"/>
      <c r="E466"/>
      <c r="F466"/>
      <c r="G466"/>
      <c r="H466"/>
      <c r="I466"/>
      <c r="J466"/>
      <c r="K466"/>
      <c r="L466"/>
      <c r="M466"/>
      <c r="N466"/>
      <c r="O466"/>
    </row>
    <row r="467" spans="2:15" x14ac:dyDescent="0.25">
      <c r="B467"/>
      <c r="C467"/>
      <c r="D467"/>
      <c r="E467"/>
      <c r="F467"/>
      <c r="G467"/>
      <c r="H467"/>
      <c r="I467"/>
      <c r="J467"/>
      <c r="K467"/>
      <c r="L467"/>
      <c r="M467"/>
      <c r="N467"/>
      <c r="O467"/>
    </row>
    <row r="468" spans="2:15" x14ac:dyDescent="0.25">
      <c r="B468"/>
      <c r="C468"/>
      <c r="D468"/>
      <c r="E468"/>
      <c r="F468"/>
      <c r="G468"/>
      <c r="H468"/>
      <c r="I468"/>
      <c r="J468"/>
      <c r="K468"/>
      <c r="L468"/>
      <c r="M468"/>
      <c r="N468"/>
      <c r="O468"/>
    </row>
    <row r="469" spans="2:15" x14ac:dyDescent="0.25">
      <c r="B469"/>
      <c r="C469"/>
      <c r="D469"/>
      <c r="E469"/>
      <c r="F469"/>
      <c r="G469"/>
      <c r="H469"/>
      <c r="I469"/>
      <c r="J469"/>
      <c r="K469"/>
      <c r="L469"/>
      <c r="M469"/>
      <c r="N469"/>
      <c r="O469"/>
    </row>
    <row r="470" spans="2:15" x14ac:dyDescent="0.25">
      <c r="B470"/>
      <c r="C470"/>
      <c r="D470"/>
      <c r="E470"/>
      <c r="F470"/>
      <c r="G470"/>
      <c r="H470"/>
      <c r="I470"/>
      <c r="J470"/>
      <c r="K470"/>
      <c r="L470"/>
      <c r="M470"/>
      <c r="N470"/>
      <c r="O470"/>
    </row>
    <row r="471" spans="2:15" x14ac:dyDescent="0.25">
      <c r="B471"/>
      <c r="C471"/>
      <c r="D471"/>
      <c r="E471"/>
      <c r="F471"/>
      <c r="G471"/>
      <c r="H471"/>
      <c r="I471"/>
      <c r="J471"/>
      <c r="K471"/>
      <c r="L471"/>
      <c r="M471"/>
      <c r="N471"/>
      <c r="O471"/>
    </row>
    <row r="472" spans="2:15" x14ac:dyDescent="0.25">
      <c r="B472"/>
      <c r="C472"/>
      <c r="D472"/>
      <c r="E472"/>
      <c r="F472"/>
      <c r="G472"/>
      <c r="H472"/>
      <c r="I472"/>
      <c r="J472"/>
      <c r="K472"/>
      <c r="L472"/>
      <c r="M472"/>
      <c r="N472"/>
      <c r="O472"/>
    </row>
    <row r="473" spans="2:15" x14ac:dyDescent="0.25">
      <c r="B473"/>
      <c r="C473"/>
      <c r="D473"/>
      <c r="E473"/>
      <c r="F473"/>
      <c r="G473"/>
      <c r="H473"/>
      <c r="I473"/>
      <c r="J473"/>
      <c r="K473"/>
      <c r="L473"/>
      <c r="M473"/>
      <c r="N473"/>
      <c r="O473"/>
    </row>
    <row r="474" spans="2:15" x14ac:dyDescent="0.25">
      <c r="B474"/>
      <c r="C474"/>
      <c r="D474"/>
      <c r="E474"/>
      <c r="F474"/>
      <c r="G474"/>
      <c r="H474"/>
      <c r="I474"/>
      <c r="J474"/>
      <c r="K474"/>
      <c r="L474"/>
      <c r="M474"/>
      <c r="N474"/>
      <c r="O474"/>
    </row>
    <row r="475" spans="2:15" x14ac:dyDescent="0.25">
      <c r="B475"/>
      <c r="C475"/>
      <c r="D475"/>
      <c r="E475"/>
      <c r="F475"/>
      <c r="G475"/>
      <c r="H475"/>
      <c r="I475"/>
      <c r="J475"/>
      <c r="K475"/>
      <c r="L475"/>
      <c r="M475"/>
      <c r="N475"/>
      <c r="O475"/>
    </row>
    <row r="476" spans="2:15" x14ac:dyDescent="0.25">
      <c r="B476"/>
      <c r="C476"/>
      <c r="D476"/>
      <c r="E476"/>
      <c r="F476"/>
      <c r="G476"/>
      <c r="H476"/>
      <c r="I476"/>
      <c r="J476"/>
      <c r="K476"/>
      <c r="L476"/>
      <c r="M476"/>
      <c r="N476"/>
      <c r="O476"/>
    </row>
    <row r="477" spans="2:15" x14ac:dyDescent="0.25">
      <c r="B477"/>
      <c r="C477"/>
      <c r="D477"/>
      <c r="E477"/>
      <c r="F477"/>
      <c r="G477"/>
      <c r="H477"/>
      <c r="I477"/>
      <c r="J477"/>
      <c r="K477"/>
      <c r="L477"/>
      <c r="M477"/>
      <c r="N477"/>
      <c r="O477"/>
    </row>
    <row r="478" spans="2:15" x14ac:dyDescent="0.25">
      <c r="B478"/>
      <c r="C478"/>
      <c r="D478"/>
      <c r="E478"/>
      <c r="F478"/>
      <c r="G478"/>
      <c r="H478"/>
      <c r="I478"/>
      <c r="J478"/>
      <c r="K478"/>
      <c r="L478"/>
      <c r="M478"/>
      <c r="N478"/>
      <c r="O478"/>
    </row>
    <row r="479" spans="2:15" x14ac:dyDescent="0.25">
      <c r="B479"/>
      <c r="C479"/>
      <c r="D479"/>
      <c r="E479"/>
      <c r="F479"/>
      <c r="G479"/>
      <c r="H479"/>
      <c r="I479"/>
      <c r="J479"/>
      <c r="K479"/>
      <c r="L479"/>
      <c r="M479"/>
      <c r="N479"/>
      <c r="O479"/>
    </row>
    <row r="480" spans="2:15" x14ac:dyDescent="0.25">
      <c r="B480"/>
      <c r="C480"/>
      <c r="D480"/>
      <c r="E480"/>
      <c r="F480"/>
      <c r="G480"/>
      <c r="H480"/>
      <c r="I480"/>
      <c r="J480"/>
      <c r="K480"/>
      <c r="L480"/>
      <c r="M480"/>
      <c r="N480"/>
      <c r="O480"/>
    </row>
    <row r="481" spans="2:15" x14ac:dyDescent="0.25">
      <c r="B481"/>
      <c r="C481"/>
      <c r="D481"/>
      <c r="E481"/>
      <c r="F481"/>
      <c r="G481"/>
      <c r="H481"/>
      <c r="I481"/>
      <c r="J481"/>
      <c r="K481"/>
      <c r="L481"/>
      <c r="M481"/>
      <c r="N481"/>
      <c r="O481"/>
    </row>
    <row r="482" spans="2:15" x14ac:dyDescent="0.25">
      <c r="B482"/>
      <c r="C482"/>
      <c r="D482"/>
      <c r="E482"/>
      <c r="F482"/>
      <c r="G482"/>
      <c r="H482"/>
      <c r="I482"/>
      <c r="J482"/>
      <c r="K482"/>
      <c r="L482"/>
      <c r="M482"/>
      <c r="N482"/>
      <c r="O482"/>
    </row>
    <row r="483" spans="2:15" x14ac:dyDescent="0.25">
      <c r="B483"/>
      <c r="C483"/>
      <c r="D483"/>
      <c r="E483"/>
      <c r="F483"/>
      <c r="G483"/>
      <c r="H483"/>
      <c r="I483"/>
      <c r="J483"/>
      <c r="K483"/>
      <c r="L483"/>
      <c r="M483"/>
      <c r="N483"/>
      <c r="O483"/>
    </row>
    <row r="484" spans="2:15" x14ac:dyDescent="0.25">
      <c r="B484"/>
      <c r="C484"/>
      <c r="D484"/>
      <c r="E484"/>
      <c r="F484"/>
      <c r="G484"/>
      <c r="H484"/>
      <c r="I484"/>
      <c r="J484"/>
      <c r="K484"/>
      <c r="L484"/>
      <c r="M484"/>
      <c r="N484"/>
      <c r="O484"/>
    </row>
    <row r="485" spans="2:15" x14ac:dyDescent="0.25">
      <c r="B485"/>
      <c r="C485"/>
      <c r="D485"/>
      <c r="E485"/>
      <c r="F485"/>
      <c r="G485"/>
      <c r="H485"/>
      <c r="I485"/>
      <c r="J485"/>
      <c r="K485"/>
      <c r="L485"/>
      <c r="M485"/>
      <c r="N485"/>
      <c r="O485"/>
    </row>
    <row r="486" spans="2:15" x14ac:dyDescent="0.25">
      <c r="B486"/>
      <c r="C486"/>
      <c r="D486"/>
      <c r="E486"/>
      <c r="F486"/>
      <c r="G486"/>
      <c r="H486"/>
      <c r="I486"/>
      <c r="J486"/>
      <c r="K486"/>
      <c r="L486"/>
      <c r="M486"/>
      <c r="N486"/>
      <c r="O486"/>
    </row>
    <row r="487" spans="2:15" x14ac:dyDescent="0.25">
      <c r="B487"/>
      <c r="C487"/>
      <c r="D487"/>
      <c r="E487"/>
      <c r="F487"/>
      <c r="G487"/>
      <c r="H487"/>
      <c r="I487"/>
      <c r="J487"/>
      <c r="K487"/>
      <c r="L487"/>
      <c r="M487"/>
      <c r="N487"/>
      <c r="O487"/>
    </row>
    <row r="488" spans="2:15" x14ac:dyDescent="0.25">
      <c r="B488"/>
      <c r="C488"/>
      <c r="D488"/>
      <c r="E488"/>
      <c r="F488"/>
      <c r="G488"/>
      <c r="H488"/>
      <c r="I488"/>
      <c r="J488"/>
      <c r="K488"/>
      <c r="L488"/>
      <c r="M488"/>
      <c r="N488"/>
      <c r="O488"/>
    </row>
    <row r="489" spans="2:15" x14ac:dyDescent="0.25">
      <c r="B489"/>
      <c r="C489"/>
      <c r="D489"/>
      <c r="E489"/>
      <c r="F489"/>
      <c r="G489"/>
      <c r="H489"/>
      <c r="I489"/>
      <c r="J489"/>
      <c r="K489"/>
      <c r="L489"/>
      <c r="M489"/>
      <c r="N489"/>
      <c r="O489"/>
    </row>
    <row r="490" spans="2:15" x14ac:dyDescent="0.25">
      <c r="B490"/>
      <c r="C490"/>
      <c r="D490"/>
      <c r="E490"/>
      <c r="F490"/>
      <c r="G490"/>
      <c r="H490"/>
      <c r="I490"/>
      <c r="J490"/>
      <c r="K490"/>
      <c r="L490"/>
      <c r="M490"/>
      <c r="N490"/>
      <c r="O490"/>
    </row>
    <row r="491" spans="2:15" x14ac:dyDescent="0.25">
      <c r="B491"/>
      <c r="C491"/>
      <c r="D491"/>
      <c r="E491"/>
      <c r="F491"/>
      <c r="G491"/>
      <c r="H491"/>
      <c r="I491"/>
      <c r="J491"/>
      <c r="K491"/>
      <c r="L491"/>
      <c r="M491"/>
      <c r="N491"/>
      <c r="O491"/>
    </row>
    <row r="492" spans="2:15" x14ac:dyDescent="0.25">
      <c r="B492"/>
      <c r="C492"/>
      <c r="D492"/>
      <c r="E492"/>
      <c r="F492"/>
      <c r="G492"/>
      <c r="H492"/>
      <c r="I492"/>
      <c r="J492"/>
      <c r="K492"/>
      <c r="L492"/>
      <c r="M492"/>
      <c r="N492"/>
      <c r="O492"/>
    </row>
    <row r="493" spans="2:15" x14ac:dyDescent="0.25">
      <c r="B493"/>
      <c r="C493"/>
      <c r="D493"/>
      <c r="E493"/>
      <c r="F493"/>
      <c r="G493"/>
      <c r="H493"/>
      <c r="I493"/>
      <c r="J493"/>
      <c r="K493"/>
      <c r="L493"/>
      <c r="M493"/>
      <c r="N493"/>
      <c r="O493"/>
    </row>
    <row r="494" spans="2:15" x14ac:dyDescent="0.25">
      <c r="B494"/>
      <c r="C494"/>
      <c r="D494"/>
      <c r="E494"/>
      <c r="F494"/>
      <c r="G494"/>
      <c r="H494"/>
      <c r="I494"/>
      <c r="J494"/>
      <c r="K494"/>
      <c r="L494"/>
      <c r="M494"/>
      <c r="N494"/>
      <c r="O494"/>
    </row>
    <row r="495" spans="2:15" x14ac:dyDescent="0.25">
      <c r="B495"/>
      <c r="C495"/>
      <c r="D495"/>
      <c r="E495"/>
      <c r="F495"/>
      <c r="G495"/>
      <c r="H495"/>
      <c r="I495"/>
      <c r="J495"/>
      <c r="K495"/>
      <c r="L495"/>
      <c r="M495"/>
      <c r="N495"/>
      <c r="O495"/>
    </row>
    <row r="496" spans="2:15" x14ac:dyDescent="0.25">
      <c r="B496"/>
      <c r="C496"/>
      <c r="D496"/>
      <c r="E496"/>
      <c r="F496"/>
      <c r="G496"/>
      <c r="H496"/>
      <c r="I496"/>
      <c r="J496"/>
      <c r="K496"/>
      <c r="L496"/>
      <c r="M496"/>
      <c r="N496"/>
      <c r="O496"/>
    </row>
    <row r="497" spans="2:15" x14ac:dyDescent="0.25">
      <c r="B497"/>
      <c r="C497"/>
      <c r="D497"/>
      <c r="E497"/>
      <c r="F497"/>
      <c r="G497"/>
      <c r="H497"/>
      <c r="I497"/>
      <c r="J497"/>
      <c r="K497"/>
      <c r="L497"/>
      <c r="M497"/>
      <c r="N497"/>
      <c r="O497"/>
    </row>
    <row r="498" spans="2:15" x14ac:dyDescent="0.25">
      <c r="B498"/>
      <c r="C498"/>
      <c r="D498"/>
      <c r="E498"/>
      <c r="F498"/>
      <c r="G498"/>
      <c r="H498"/>
      <c r="I498"/>
      <c r="J498"/>
      <c r="K498"/>
      <c r="L498"/>
      <c r="M498"/>
      <c r="N498"/>
      <c r="O498"/>
    </row>
    <row r="499" spans="2:15" x14ac:dyDescent="0.25">
      <c r="B499"/>
      <c r="C499"/>
      <c r="D499"/>
      <c r="E499"/>
      <c r="F499"/>
      <c r="G499"/>
      <c r="H499"/>
      <c r="I499"/>
      <c r="J499"/>
      <c r="K499"/>
      <c r="L499"/>
      <c r="M499"/>
      <c r="N499"/>
      <c r="O499"/>
    </row>
    <row r="500" spans="2:15" x14ac:dyDescent="0.25">
      <c r="B500"/>
      <c r="C500"/>
      <c r="D500"/>
      <c r="E500"/>
      <c r="F500"/>
      <c r="G500"/>
      <c r="H500"/>
      <c r="I500"/>
      <c r="J500"/>
      <c r="K500"/>
      <c r="L500"/>
      <c r="M500"/>
      <c r="N500"/>
      <c r="O500"/>
    </row>
    <row r="501" spans="2:15" x14ac:dyDescent="0.25">
      <c r="B501"/>
      <c r="C501"/>
      <c r="D501"/>
      <c r="E501"/>
      <c r="F501"/>
      <c r="G501"/>
      <c r="H501"/>
      <c r="I501"/>
      <c r="J501"/>
      <c r="K501"/>
      <c r="L501"/>
      <c r="M501"/>
      <c r="N501"/>
      <c r="O501"/>
    </row>
    <row r="502" spans="2:15" x14ac:dyDescent="0.25">
      <c r="B502"/>
      <c r="C502"/>
      <c r="D502"/>
      <c r="E502"/>
      <c r="F502"/>
      <c r="G502"/>
      <c r="H502"/>
      <c r="I502"/>
      <c r="J502"/>
      <c r="K502"/>
      <c r="L502"/>
      <c r="M502"/>
      <c r="N502"/>
      <c r="O502"/>
    </row>
    <row r="503" spans="2:15" x14ac:dyDescent="0.25">
      <c r="B503"/>
      <c r="C503"/>
      <c r="D503"/>
      <c r="E503"/>
      <c r="F503"/>
      <c r="G503"/>
      <c r="H503"/>
      <c r="I503"/>
      <c r="J503"/>
      <c r="K503"/>
      <c r="L503"/>
      <c r="M503"/>
      <c r="N503"/>
      <c r="O503"/>
    </row>
    <row r="504" spans="2:15" x14ac:dyDescent="0.25">
      <c r="B504"/>
      <c r="C504"/>
      <c r="D504"/>
      <c r="E504"/>
      <c r="F504"/>
      <c r="G504"/>
      <c r="H504"/>
      <c r="I504"/>
      <c r="J504"/>
      <c r="K504"/>
      <c r="L504"/>
      <c r="M504"/>
      <c r="N504"/>
      <c r="O504"/>
    </row>
    <row r="505" spans="2:15" x14ac:dyDescent="0.25">
      <c r="B505"/>
      <c r="C505"/>
      <c r="D505"/>
      <c r="E505"/>
      <c r="F505"/>
      <c r="G505"/>
      <c r="H505"/>
      <c r="I505"/>
      <c r="J505"/>
      <c r="K505"/>
      <c r="L505"/>
      <c r="M505"/>
      <c r="N505"/>
      <c r="O505"/>
    </row>
    <row r="506" spans="2:15" x14ac:dyDescent="0.25">
      <c r="B506"/>
      <c r="C506"/>
      <c r="D506"/>
      <c r="E506"/>
      <c r="F506"/>
      <c r="G506"/>
      <c r="H506"/>
      <c r="I506"/>
      <c r="J506"/>
      <c r="K506"/>
      <c r="L506"/>
      <c r="M506"/>
      <c r="N506"/>
      <c r="O506"/>
    </row>
    <row r="507" spans="2:15" x14ac:dyDescent="0.25">
      <c r="B507"/>
      <c r="C507"/>
      <c r="D507"/>
      <c r="E507"/>
      <c r="F507"/>
      <c r="G507"/>
      <c r="H507"/>
      <c r="I507"/>
      <c r="J507"/>
      <c r="K507"/>
      <c r="L507"/>
      <c r="M507"/>
      <c r="N507"/>
      <c r="O507"/>
    </row>
    <row r="508" spans="2:15" x14ac:dyDescent="0.25">
      <c r="B508"/>
      <c r="C508"/>
      <c r="D508"/>
      <c r="E508"/>
      <c r="F508"/>
      <c r="G508"/>
      <c r="H508"/>
      <c r="I508"/>
      <c r="J508"/>
      <c r="K508"/>
      <c r="L508"/>
      <c r="M508"/>
      <c r="N508"/>
      <c r="O508"/>
    </row>
    <row r="509" spans="2:15" x14ac:dyDescent="0.25">
      <c r="B509"/>
      <c r="C509"/>
      <c r="D509"/>
      <c r="E509"/>
      <c r="F509"/>
      <c r="G509"/>
      <c r="H509"/>
      <c r="I509"/>
      <c r="J509"/>
      <c r="K509"/>
      <c r="L509"/>
      <c r="M509"/>
      <c r="N509"/>
      <c r="O509"/>
    </row>
    <row r="510" spans="2:15" x14ac:dyDescent="0.25">
      <c r="B510"/>
      <c r="C510"/>
      <c r="D510"/>
      <c r="E510"/>
      <c r="F510"/>
      <c r="G510"/>
      <c r="H510"/>
      <c r="I510"/>
      <c r="J510"/>
      <c r="K510"/>
      <c r="L510"/>
      <c r="M510"/>
      <c r="N510"/>
      <c r="O510"/>
    </row>
    <row r="511" spans="2:15" x14ac:dyDescent="0.25">
      <c r="B511"/>
      <c r="C511"/>
      <c r="D511"/>
      <c r="E511"/>
      <c r="F511"/>
      <c r="G511"/>
      <c r="H511"/>
      <c r="I511"/>
      <c r="J511"/>
      <c r="K511"/>
      <c r="L511"/>
      <c r="M511"/>
      <c r="N511"/>
      <c r="O511"/>
    </row>
    <row r="512" spans="2:15" x14ac:dyDescent="0.25">
      <c r="B512"/>
      <c r="C512"/>
      <c r="D512"/>
      <c r="E512"/>
      <c r="F512"/>
      <c r="G512"/>
      <c r="H512"/>
      <c r="I512"/>
      <c r="J512"/>
      <c r="K512"/>
      <c r="L512"/>
      <c r="M512"/>
      <c r="N512"/>
      <c r="O512"/>
    </row>
    <row r="513" spans="2:15" x14ac:dyDescent="0.25">
      <c r="B513"/>
      <c r="C513"/>
      <c r="D513"/>
      <c r="E513"/>
      <c r="F513"/>
      <c r="G513"/>
      <c r="H513"/>
      <c r="I513"/>
      <c r="J513"/>
      <c r="K513"/>
      <c r="L513"/>
      <c r="M513"/>
      <c r="N513"/>
      <c r="O513"/>
    </row>
    <row r="514" spans="2:15" x14ac:dyDescent="0.25">
      <c r="B514"/>
      <c r="C514"/>
      <c r="D514"/>
      <c r="E514"/>
      <c r="F514"/>
      <c r="G514"/>
      <c r="H514"/>
      <c r="I514"/>
      <c r="J514"/>
      <c r="K514"/>
      <c r="L514"/>
      <c r="M514"/>
      <c r="N514"/>
      <c r="O514"/>
    </row>
    <row r="515" spans="2:15" x14ac:dyDescent="0.25">
      <c r="B515"/>
      <c r="C515"/>
      <c r="D515"/>
      <c r="E515"/>
      <c r="F515"/>
      <c r="G515"/>
      <c r="H515"/>
      <c r="I515"/>
      <c r="J515"/>
      <c r="K515"/>
      <c r="L515"/>
      <c r="M515"/>
      <c r="N515"/>
      <c r="O515"/>
    </row>
    <row r="516" spans="2:15" x14ac:dyDescent="0.25">
      <c r="B516"/>
      <c r="C516"/>
      <c r="D516"/>
      <c r="E516"/>
      <c r="F516"/>
      <c r="G516"/>
      <c r="H516"/>
      <c r="I516"/>
      <c r="J516"/>
      <c r="K516"/>
      <c r="L516"/>
      <c r="M516"/>
      <c r="N516"/>
      <c r="O516"/>
    </row>
    <row r="517" spans="2:15" x14ac:dyDescent="0.25">
      <c r="B517"/>
      <c r="C517"/>
      <c r="D517"/>
      <c r="E517"/>
      <c r="F517"/>
      <c r="G517"/>
      <c r="H517"/>
      <c r="I517"/>
      <c r="J517"/>
      <c r="K517"/>
      <c r="L517"/>
      <c r="M517"/>
      <c r="N517"/>
      <c r="O517"/>
    </row>
    <row r="518" spans="2:15" x14ac:dyDescent="0.25">
      <c r="B518"/>
      <c r="C518"/>
      <c r="D518"/>
      <c r="E518"/>
      <c r="F518"/>
      <c r="G518"/>
      <c r="H518"/>
      <c r="I518"/>
      <c r="J518"/>
      <c r="K518"/>
      <c r="L518"/>
      <c r="M518"/>
      <c r="N518"/>
      <c r="O518"/>
    </row>
    <row r="519" spans="2:15" x14ac:dyDescent="0.25">
      <c r="B519"/>
      <c r="C519"/>
      <c r="D519"/>
      <c r="E519"/>
      <c r="F519"/>
      <c r="G519"/>
      <c r="H519"/>
      <c r="I519"/>
      <c r="J519"/>
      <c r="K519"/>
      <c r="L519"/>
      <c r="M519"/>
      <c r="N519"/>
      <c r="O519"/>
    </row>
    <row r="520" spans="2:15" x14ac:dyDescent="0.25">
      <c r="B520"/>
      <c r="C520"/>
      <c r="D520"/>
      <c r="E520"/>
      <c r="F520"/>
      <c r="G520"/>
      <c r="H520"/>
      <c r="I520"/>
      <c r="J520"/>
      <c r="K520"/>
      <c r="L520"/>
      <c r="M520"/>
      <c r="N520"/>
      <c r="O520"/>
    </row>
    <row r="521" spans="2:15" x14ac:dyDescent="0.25">
      <c r="B521"/>
      <c r="C521"/>
      <c r="D521"/>
      <c r="E521"/>
      <c r="F521"/>
      <c r="G521"/>
      <c r="H521"/>
      <c r="I521"/>
      <c r="J521"/>
      <c r="K521"/>
      <c r="L521"/>
      <c r="M521"/>
      <c r="N521"/>
      <c r="O521"/>
    </row>
    <row r="522" spans="2:15" x14ac:dyDescent="0.25">
      <c r="B522"/>
      <c r="C522"/>
      <c r="D522"/>
      <c r="E522"/>
      <c r="F522"/>
      <c r="G522"/>
      <c r="H522"/>
      <c r="I522"/>
      <c r="J522"/>
      <c r="K522"/>
      <c r="L522"/>
      <c r="M522"/>
      <c r="N522"/>
      <c r="O522"/>
    </row>
    <row r="523" spans="2:15" x14ac:dyDescent="0.25">
      <c r="B523"/>
      <c r="C523"/>
      <c r="D523"/>
      <c r="E523"/>
      <c r="F523"/>
      <c r="G523"/>
      <c r="H523"/>
      <c r="I523"/>
      <c r="J523"/>
      <c r="K523"/>
      <c r="L523"/>
      <c r="M523"/>
      <c r="N523"/>
      <c r="O523"/>
    </row>
    <row r="524" spans="2:15" x14ac:dyDescent="0.25">
      <c r="B524"/>
      <c r="C524"/>
      <c r="D524"/>
      <c r="E524"/>
      <c r="F524"/>
      <c r="G524"/>
      <c r="H524"/>
      <c r="I524"/>
      <c r="J524"/>
      <c r="K524"/>
      <c r="L524"/>
      <c r="M524"/>
      <c r="N524"/>
      <c r="O524"/>
    </row>
    <row r="525" spans="2:15" x14ac:dyDescent="0.25">
      <c r="B525"/>
      <c r="C525"/>
      <c r="D525"/>
      <c r="E525"/>
      <c r="F525"/>
      <c r="G525"/>
      <c r="H525"/>
      <c r="I525"/>
      <c r="J525"/>
      <c r="K525"/>
      <c r="L525"/>
      <c r="M525"/>
      <c r="N525"/>
      <c r="O525"/>
    </row>
    <row r="526" spans="2:15" x14ac:dyDescent="0.25">
      <c r="B526"/>
      <c r="C526"/>
      <c r="D526"/>
      <c r="E526"/>
      <c r="F526"/>
      <c r="G526"/>
      <c r="H526"/>
      <c r="I526"/>
      <c r="J526"/>
      <c r="K526"/>
      <c r="L526"/>
      <c r="M526"/>
      <c r="N526"/>
      <c r="O526"/>
    </row>
    <row r="527" spans="2:15" x14ac:dyDescent="0.25">
      <c r="B527"/>
      <c r="C527"/>
      <c r="D527"/>
      <c r="E527"/>
      <c r="F527"/>
      <c r="G527"/>
      <c r="H527"/>
      <c r="I527"/>
      <c r="J527"/>
      <c r="K527"/>
      <c r="L527"/>
      <c r="M527"/>
      <c r="N527"/>
      <c r="O527"/>
    </row>
    <row r="528" spans="2:15" x14ac:dyDescent="0.25">
      <c r="B528"/>
      <c r="C528"/>
      <c r="D528"/>
      <c r="E528"/>
      <c r="F528"/>
      <c r="G528"/>
      <c r="H528"/>
      <c r="I528"/>
      <c r="J528"/>
      <c r="K528"/>
      <c r="L528"/>
      <c r="M528"/>
      <c r="N528"/>
      <c r="O528"/>
    </row>
    <row r="529" spans="2:15" x14ac:dyDescent="0.25">
      <c r="B529"/>
      <c r="C529"/>
      <c r="D529"/>
      <c r="E529"/>
      <c r="F529"/>
      <c r="G529"/>
      <c r="H529"/>
      <c r="I529"/>
      <c r="J529"/>
      <c r="K529"/>
      <c r="L529"/>
      <c r="M529"/>
      <c r="N529"/>
      <c r="O529"/>
    </row>
    <row r="530" spans="2:15" x14ac:dyDescent="0.25">
      <c r="B530"/>
      <c r="C530"/>
      <c r="D530"/>
      <c r="E530"/>
      <c r="F530"/>
      <c r="G530"/>
      <c r="H530"/>
      <c r="I530"/>
      <c r="J530"/>
      <c r="K530"/>
      <c r="L530"/>
      <c r="M530"/>
      <c r="N530"/>
      <c r="O530"/>
    </row>
    <row r="531" spans="2:15" x14ac:dyDescent="0.25">
      <c r="B531"/>
      <c r="C531"/>
      <c r="D531"/>
      <c r="E531"/>
      <c r="F531"/>
      <c r="G531"/>
      <c r="H531"/>
      <c r="I531"/>
      <c r="J531"/>
      <c r="K531"/>
      <c r="L531"/>
      <c r="M531"/>
      <c r="N531"/>
      <c r="O531"/>
    </row>
    <row r="532" spans="2:15" x14ac:dyDescent="0.25">
      <c r="B532"/>
      <c r="C532"/>
      <c r="D532"/>
      <c r="E532"/>
      <c r="F532"/>
      <c r="G532"/>
      <c r="H532"/>
      <c r="I532"/>
      <c r="J532"/>
      <c r="K532"/>
      <c r="L532"/>
      <c r="M532"/>
      <c r="N532"/>
      <c r="O532"/>
    </row>
    <row r="533" spans="2:15" x14ac:dyDescent="0.25">
      <c r="B533"/>
      <c r="C533"/>
      <c r="D533"/>
      <c r="E533"/>
      <c r="F533"/>
      <c r="G533"/>
      <c r="H533"/>
      <c r="I533"/>
      <c r="J533"/>
      <c r="K533"/>
      <c r="L533"/>
      <c r="M533"/>
      <c r="N533"/>
      <c r="O533"/>
    </row>
    <row r="534" spans="2:15" x14ac:dyDescent="0.25">
      <c r="B534"/>
      <c r="C534"/>
      <c r="D534"/>
      <c r="E534"/>
      <c r="F534"/>
      <c r="G534"/>
      <c r="H534"/>
      <c r="I534"/>
      <c r="J534"/>
      <c r="K534"/>
      <c r="L534"/>
      <c r="M534"/>
      <c r="N534"/>
      <c r="O534"/>
    </row>
    <row r="535" spans="2:15" x14ac:dyDescent="0.25">
      <c r="B535"/>
      <c r="C535"/>
      <c r="D535"/>
      <c r="E535"/>
      <c r="F535"/>
      <c r="G535"/>
      <c r="H535"/>
      <c r="I535"/>
      <c r="J535"/>
      <c r="K535"/>
      <c r="L535"/>
      <c r="M535"/>
      <c r="N535"/>
      <c r="O535"/>
    </row>
    <row r="536" spans="2:15" x14ac:dyDescent="0.25">
      <c r="B536"/>
      <c r="C536"/>
      <c r="D536"/>
      <c r="E536"/>
      <c r="F536"/>
      <c r="G536"/>
      <c r="H536"/>
      <c r="I536"/>
      <c r="J536"/>
      <c r="K536"/>
      <c r="L536"/>
      <c r="M536"/>
      <c r="N536"/>
      <c r="O536"/>
    </row>
    <row r="537" spans="2:15" x14ac:dyDescent="0.25">
      <c r="B537"/>
      <c r="C537"/>
      <c r="D537"/>
      <c r="E537"/>
      <c r="F537"/>
      <c r="G537"/>
      <c r="H537"/>
      <c r="I537"/>
      <c r="J537"/>
      <c r="K537"/>
      <c r="L537"/>
      <c r="M537"/>
      <c r="N537"/>
      <c r="O537"/>
    </row>
    <row r="538" spans="2:15" x14ac:dyDescent="0.25">
      <c r="B538"/>
      <c r="C538"/>
      <c r="D538"/>
      <c r="E538"/>
      <c r="F538"/>
      <c r="G538"/>
      <c r="H538"/>
      <c r="I538"/>
      <c r="J538"/>
      <c r="K538"/>
      <c r="L538"/>
      <c r="M538"/>
      <c r="N538"/>
      <c r="O538"/>
    </row>
    <row r="539" spans="2:15" x14ac:dyDescent="0.25">
      <c r="B539"/>
      <c r="C539"/>
      <c r="D539"/>
      <c r="E539"/>
      <c r="F539"/>
      <c r="G539"/>
      <c r="H539"/>
      <c r="I539"/>
      <c r="J539"/>
      <c r="K539"/>
      <c r="L539"/>
      <c r="M539"/>
      <c r="N539"/>
      <c r="O539"/>
    </row>
    <row r="540" spans="2:15" x14ac:dyDescent="0.25">
      <c r="B540"/>
      <c r="C540"/>
      <c r="D540"/>
      <c r="E540"/>
      <c r="F540"/>
      <c r="G540"/>
      <c r="H540"/>
      <c r="I540"/>
      <c r="J540"/>
      <c r="K540"/>
      <c r="L540"/>
      <c r="M540"/>
      <c r="N540"/>
      <c r="O540"/>
    </row>
    <row r="541" spans="2:15" x14ac:dyDescent="0.25">
      <c r="B541"/>
      <c r="C541"/>
      <c r="D541"/>
      <c r="E541"/>
      <c r="F541"/>
      <c r="G541"/>
      <c r="H541"/>
      <c r="I541"/>
      <c r="J541"/>
      <c r="K541"/>
      <c r="L541"/>
      <c r="M541"/>
      <c r="N541"/>
      <c r="O541"/>
    </row>
    <row r="542" spans="2:15" x14ac:dyDescent="0.25">
      <c r="B542"/>
      <c r="C542"/>
      <c r="D542"/>
      <c r="E542"/>
      <c r="F542"/>
      <c r="G542"/>
      <c r="H542"/>
      <c r="I542"/>
      <c r="J542"/>
      <c r="K542"/>
      <c r="L542"/>
      <c r="M542"/>
      <c r="N542"/>
      <c r="O542"/>
    </row>
    <row r="543" spans="2:15" x14ac:dyDescent="0.25">
      <c r="B543"/>
      <c r="C543"/>
      <c r="D543"/>
      <c r="E543"/>
      <c r="F543"/>
      <c r="G543"/>
      <c r="H543"/>
      <c r="I543"/>
      <c r="J543"/>
      <c r="K543"/>
      <c r="L543"/>
      <c r="M543"/>
      <c r="N543"/>
      <c r="O543"/>
    </row>
    <row r="544" spans="2:15" x14ac:dyDescent="0.25">
      <c r="B544"/>
      <c r="C544"/>
      <c r="D544"/>
      <c r="E544"/>
      <c r="F544"/>
      <c r="G544"/>
      <c r="H544"/>
      <c r="I544"/>
      <c r="J544"/>
      <c r="K544"/>
      <c r="L544"/>
      <c r="M544"/>
      <c r="N544"/>
      <c r="O544"/>
    </row>
    <row r="545" spans="2:15" x14ac:dyDescent="0.25">
      <c r="B545"/>
      <c r="C545"/>
      <c r="D545"/>
      <c r="E545"/>
      <c r="F545"/>
      <c r="G545"/>
      <c r="H545"/>
      <c r="I545"/>
      <c r="J545"/>
      <c r="K545"/>
      <c r="L545"/>
      <c r="M545"/>
      <c r="N545"/>
      <c r="O545"/>
    </row>
    <row r="546" spans="2:15" x14ac:dyDescent="0.25">
      <c r="B546"/>
      <c r="C546"/>
      <c r="D546"/>
      <c r="E546"/>
      <c r="F546"/>
      <c r="G546"/>
      <c r="H546"/>
      <c r="I546"/>
      <c r="J546"/>
      <c r="K546"/>
      <c r="L546"/>
      <c r="M546"/>
      <c r="N546"/>
      <c r="O546"/>
    </row>
    <row r="547" spans="2:15" x14ac:dyDescent="0.25">
      <c r="B547"/>
      <c r="C547"/>
      <c r="D547"/>
      <c r="E547"/>
      <c r="F547"/>
      <c r="G547"/>
      <c r="H547"/>
      <c r="I547"/>
      <c r="J547"/>
      <c r="K547"/>
      <c r="L547"/>
      <c r="M547"/>
      <c r="N547"/>
      <c r="O547"/>
    </row>
    <row r="548" spans="2:15" x14ac:dyDescent="0.25">
      <c r="B548"/>
      <c r="C548"/>
      <c r="D548"/>
      <c r="E548"/>
      <c r="F548"/>
      <c r="G548"/>
      <c r="H548"/>
      <c r="I548"/>
      <c r="J548"/>
      <c r="K548"/>
      <c r="L548"/>
      <c r="M548"/>
      <c r="N548"/>
      <c r="O548"/>
    </row>
    <row r="549" spans="2:15" x14ac:dyDescent="0.25">
      <c r="B549"/>
      <c r="C549"/>
      <c r="D549"/>
      <c r="E549"/>
      <c r="F549"/>
      <c r="G549"/>
      <c r="H549"/>
      <c r="I549"/>
      <c r="J549"/>
      <c r="K549"/>
      <c r="L549"/>
      <c r="M549"/>
      <c r="N549"/>
      <c r="O549"/>
    </row>
    <row r="550" spans="2:15" x14ac:dyDescent="0.25">
      <c r="B550"/>
      <c r="C550"/>
      <c r="D550"/>
      <c r="E550"/>
      <c r="F550"/>
      <c r="G550"/>
      <c r="H550"/>
      <c r="I550"/>
      <c r="J550"/>
      <c r="K550"/>
      <c r="L550"/>
      <c r="M550"/>
      <c r="N550"/>
      <c r="O550"/>
    </row>
    <row r="551" spans="2:15" x14ac:dyDescent="0.25">
      <c r="B551"/>
      <c r="C551"/>
      <c r="D551"/>
      <c r="E551"/>
      <c r="F551"/>
      <c r="G551"/>
      <c r="H551"/>
      <c r="I551"/>
      <c r="J551"/>
      <c r="K551"/>
      <c r="L551"/>
      <c r="M551"/>
      <c r="N551"/>
      <c r="O551"/>
    </row>
    <row r="552" spans="2:15" x14ac:dyDescent="0.25">
      <c r="B552"/>
      <c r="C552"/>
      <c r="D552"/>
      <c r="E552"/>
      <c r="F552"/>
      <c r="G552"/>
      <c r="H552"/>
      <c r="I552"/>
      <c r="J552"/>
      <c r="K552"/>
      <c r="L552"/>
      <c r="M552"/>
      <c r="N552"/>
      <c r="O552"/>
    </row>
    <row r="553" spans="2:15" x14ac:dyDescent="0.25">
      <c r="B553"/>
      <c r="C553"/>
      <c r="D553"/>
      <c r="E553"/>
      <c r="F553"/>
      <c r="G553"/>
      <c r="H553"/>
      <c r="I553"/>
      <c r="J553"/>
      <c r="K553"/>
      <c r="L553"/>
      <c r="M553"/>
      <c r="N553"/>
      <c r="O553"/>
    </row>
    <row r="554" spans="2:15" x14ac:dyDescent="0.25">
      <c r="B554"/>
      <c r="C554"/>
      <c r="D554"/>
      <c r="E554"/>
      <c r="F554"/>
      <c r="G554"/>
      <c r="H554"/>
      <c r="I554"/>
      <c r="J554"/>
      <c r="K554"/>
      <c r="L554"/>
      <c r="M554"/>
      <c r="N554"/>
      <c r="O554"/>
    </row>
    <row r="555" spans="2:15" x14ac:dyDescent="0.25">
      <c r="B555"/>
      <c r="C555"/>
      <c r="D555"/>
      <c r="E555"/>
      <c r="F555"/>
      <c r="G555"/>
      <c r="H555"/>
      <c r="I555"/>
      <c r="J555"/>
      <c r="K555"/>
      <c r="L555"/>
      <c r="M555"/>
      <c r="N555"/>
      <c r="O555"/>
    </row>
    <row r="556" spans="2:15" x14ac:dyDescent="0.25">
      <c r="B556"/>
      <c r="C556"/>
      <c r="D556"/>
      <c r="E556"/>
      <c r="F556"/>
      <c r="G556"/>
      <c r="H556"/>
      <c r="I556"/>
      <c r="J556"/>
      <c r="K556"/>
      <c r="L556"/>
      <c r="M556"/>
      <c r="N556"/>
      <c r="O556"/>
    </row>
    <row r="557" spans="2:15" x14ac:dyDescent="0.25">
      <c r="B557"/>
      <c r="C557"/>
      <c r="D557"/>
      <c r="E557"/>
      <c r="F557"/>
      <c r="G557"/>
      <c r="H557"/>
      <c r="I557"/>
      <c r="J557"/>
      <c r="K557"/>
      <c r="L557"/>
      <c r="M557"/>
      <c r="N557"/>
      <c r="O557"/>
    </row>
    <row r="558" spans="2:15" x14ac:dyDescent="0.25">
      <c r="B558"/>
      <c r="C558"/>
      <c r="D558"/>
      <c r="E558"/>
      <c r="F558"/>
      <c r="G558"/>
      <c r="H558"/>
      <c r="I558"/>
      <c r="J558"/>
      <c r="K558"/>
      <c r="L558"/>
      <c r="M558"/>
      <c r="N558"/>
      <c r="O558"/>
    </row>
    <row r="559" spans="2:15" x14ac:dyDescent="0.25">
      <c r="B559"/>
      <c r="C559"/>
      <c r="D559"/>
      <c r="E559"/>
      <c r="F559"/>
      <c r="G559"/>
      <c r="H559"/>
      <c r="I559"/>
      <c r="J559"/>
      <c r="K559"/>
      <c r="L559"/>
      <c r="M559"/>
      <c r="N559"/>
      <c r="O559"/>
    </row>
    <row r="560" spans="2:15" x14ac:dyDescent="0.25">
      <c r="B560"/>
      <c r="C560"/>
      <c r="D560"/>
      <c r="E560"/>
      <c r="F560"/>
      <c r="G560"/>
      <c r="H560"/>
      <c r="I560"/>
      <c r="J560"/>
      <c r="K560"/>
      <c r="L560"/>
      <c r="M560"/>
      <c r="N560"/>
      <c r="O560"/>
    </row>
    <row r="561" spans="2:15" x14ac:dyDescent="0.25">
      <c r="B561"/>
      <c r="C561"/>
      <c r="D561"/>
      <c r="E561"/>
      <c r="F561"/>
      <c r="G561"/>
      <c r="H561"/>
      <c r="I561"/>
      <c r="J561"/>
      <c r="K561"/>
      <c r="L561"/>
      <c r="M561"/>
      <c r="N561"/>
      <c r="O561"/>
    </row>
    <row r="562" spans="2:15" x14ac:dyDescent="0.25">
      <c r="B562"/>
      <c r="C562"/>
      <c r="D562"/>
      <c r="E562"/>
      <c r="F562"/>
      <c r="G562"/>
      <c r="H562"/>
      <c r="I562"/>
      <c r="J562"/>
      <c r="K562"/>
      <c r="L562"/>
      <c r="M562"/>
      <c r="N562"/>
      <c r="O562"/>
    </row>
    <row r="563" spans="2:15" x14ac:dyDescent="0.25">
      <c r="B563"/>
      <c r="C563"/>
      <c r="D563"/>
      <c r="E563"/>
      <c r="F563"/>
      <c r="G563"/>
      <c r="H563"/>
      <c r="I563"/>
      <c r="J563"/>
      <c r="K563"/>
      <c r="L563"/>
      <c r="M563"/>
      <c r="N563"/>
      <c r="O563"/>
    </row>
    <row r="564" spans="2:15" x14ac:dyDescent="0.25">
      <c r="B564"/>
      <c r="C564"/>
      <c r="D564"/>
      <c r="E564"/>
      <c r="F564"/>
      <c r="G564"/>
      <c r="H564"/>
      <c r="I564"/>
      <c r="J564"/>
      <c r="K564"/>
      <c r="L564"/>
      <c r="M564"/>
      <c r="N564"/>
      <c r="O564"/>
    </row>
    <row r="565" spans="2:15" x14ac:dyDescent="0.25">
      <c r="B565"/>
      <c r="C565"/>
      <c r="D565"/>
      <c r="E565"/>
      <c r="F565"/>
      <c r="G565"/>
      <c r="H565"/>
      <c r="I565"/>
      <c r="J565"/>
      <c r="K565"/>
      <c r="L565"/>
      <c r="M565"/>
      <c r="N565"/>
      <c r="O565"/>
    </row>
    <row r="566" spans="2:15" x14ac:dyDescent="0.25">
      <c r="B566"/>
      <c r="C566"/>
      <c r="D566"/>
      <c r="E566"/>
      <c r="F566"/>
      <c r="G566"/>
      <c r="H566"/>
      <c r="I566"/>
      <c r="J566"/>
      <c r="K566"/>
      <c r="L566"/>
      <c r="M566"/>
      <c r="N566"/>
      <c r="O566"/>
    </row>
    <row r="567" spans="2:15" x14ac:dyDescent="0.25">
      <c r="B567"/>
      <c r="C567"/>
      <c r="D567"/>
      <c r="E567"/>
      <c r="F567"/>
      <c r="G567"/>
      <c r="H567"/>
      <c r="I567"/>
      <c r="J567"/>
      <c r="K567"/>
      <c r="L567"/>
      <c r="M567"/>
      <c r="N567"/>
      <c r="O567"/>
    </row>
    <row r="568" spans="2:15" x14ac:dyDescent="0.25">
      <c r="B568"/>
      <c r="C568"/>
      <c r="D568"/>
      <c r="E568"/>
      <c r="F568"/>
      <c r="G568"/>
      <c r="H568"/>
      <c r="I568"/>
      <c r="J568"/>
      <c r="K568"/>
      <c r="L568"/>
      <c r="M568"/>
      <c r="N568"/>
      <c r="O568"/>
    </row>
    <row r="569" spans="2:15" x14ac:dyDescent="0.25">
      <c r="B569"/>
      <c r="C569"/>
      <c r="D569"/>
      <c r="E569"/>
      <c r="F569"/>
      <c r="G569"/>
      <c r="H569"/>
      <c r="I569"/>
      <c r="J569"/>
      <c r="K569"/>
      <c r="L569"/>
      <c r="M569"/>
      <c r="N569"/>
      <c r="O569"/>
    </row>
    <row r="570" spans="2:15" x14ac:dyDescent="0.25">
      <c r="B570"/>
      <c r="C570"/>
      <c r="D570"/>
      <c r="E570"/>
      <c r="F570"/>
      <c r="G570"/>
      <c r="H570"/>
      <c r="I570"/>
      <c r="J570"/>
      <c r="K570"/>
      <c r="L570"/>
      <c r="M570"/>
      <c r="N570"/>
      <c r="O570"/>
    </row>
    <row r="571" spans="2:15" x14ac:dyDescent="0.25">
      <c r="B571"/>
      <c r="C571"/>
      <c r="D571"/>
      <c r="E571"/>
      <c r="F571"/>
      <c r="G571"/>
      <c r="H571"/>
      <c r="I571"/>
      <c r="J571"/>
      <c r="K571"/>
      <c r="L571"/>
      <c r="M571"/>
      <c r="N571"/>
      <c r="O571"/>
    </row>
    <row r="572" spans="2:15" x14ac:dyDescent="0.25">
      <c r="B572"/>
      <c r="C572"/>
      <c r="D572"/>
      <c r="E572"/>
      <c r="F572"/>
      <c r="G572"/>
      <c r="H572"/>
      <c r="I572"/>
      <c r="J572"/>
      <c r="K572"/>
      <c r="L572"/>
      <c r="M572"/>
      <c r="N572"/>
      <c r="O572"/>
    </row>
    <row r="573" spans="2:15" x14ac:dyDescent="0.25">
      <c r="B573"/>
      <c r="C573"/>
      <c r="D573"/>
      <c r="E573"/>
      <c r="F573"/>
      <c r="G573"/>
      <c r="H573"/>
      <c r="I573"/>
      <c r="J573"/>
      <c r="K573"/>
      <c r="L573"/>
      <c r="M573"/>
      <c r="N573"/>
      <c r="O573"/>
    </row>
    <row r="574" spans="2:15" x14ac:dyDescent="0.25">
      <c r="B574"/>
      <c r="C574"/>
      <c r="D574"/>
      <c r="E574"/>
      <c r="F574"/>
      <c r="G574"/>
      <c r="H574"/>
      <c r="I574"/>
      <c r="J574"/>
      <c r="K574"/>
      <c r="L574"/>
      <c r="M574"/>
      <c r="N574"/>
      <c r="O574"/>
    </row>
    <row r="575" spans="2:15" x14ac:dyDescent="0.25">
      <c r="B575"/>
      <c r="C575"/>
      <c r="D575"/>
      <c r="E575"/>
      <c r="F575"/>
      <c r="G575"/>
      <c r="H575"/>
      <c r="I575"/>
      <c r="J575"/>
      <c r="K575"/>
      <c r="L575"/>
      <c r="M575"/>
      <c r="N575"/>
      <c r="O575"/>
    </row>
    <row r="576" spans="2:15" x14ac:dyDescent="0.25">
      <c r="B576"/>
      <c r="C576"/>
      <c r="D576"/>
      <c r="E576"/>
      <c r="F576"/>
      <c r="G576"/>
      <c r="H576"/>
      <c r="I576"/>
      <c r="J576"/>
      <c r="K576"/>
      <c r="L576"/>
      <c r="M576"/>
      <c r="N576"/>
      <c r="O576"/>
    </row>
    <row r="577" spans="2:15" x14ac:dyDescent="0.25">
      <c r="B577"/>
      <c r="C577"/>
      <c r="D577"/>
      <c r="E577"/>
      <c r="F577"/>
      <c r="G577"/>
      <c r="H577"/>
      <c r="I577"/>
      <c r="J577"/>
      <c r="K577"/>
      <c r="L577"/>
      <c r="M577"/>
      <c r="N577"/>
      <c r="O577"/>
    </row>
    <row r="578" spans="2:15" x14ac:dyDescent="0.25">
      <c r="B578"/>
      <c r="C578"/>
      <c r="D578"/>
      <c r="E578"/>
      <c r="F578"/>
      <c r="G578"/>
      <c r="H578"/>
      <c r="I578"/>
      <c r="J578"/>
      <c r="K578"/>
      <c r="L578"/>
      <c r="M578"/>
      <c r="N578"/>
      <c r="O578"/>
    </row>
    <row r="579" spans="2:15" x14ac:dyDescent="0.25">
      <c r="B579"/>
      <c r="C579"/>
      <c r="D579"/>
      <c r="E579"/>
      <c r="F579"/>
      <c r="G579"/>
      <c r="H579"/>
      <c r="I579"/>
      <c r="J579"/>
      <c r="K579"/>
      <c r="L579"/>
      <c r="M579"/>
      <c r="N579"/>
      <c r="O579"/>
    </row>
    <row r="580" spans="2:15" x14ac:dyDescent="0.25">
      <c r="B580"/>
      <c r="C580"/>
      <c r="D580"/>
      <c r="E580"/>
      <c r="F580"/>
      <c r="G580"/>
      <c r="H580"/>
      <c r="I580"/>
      <c r="J580"/>
      <c r="K580"/>
      <c r="L580"/>
      <c r="M580"/>
      <c r="N580"/>
      <c r="O580"/>
    </row>
    <row r="581" spans="2:15" x14ac:dyDescent="0.25">
      <c r="B581"/>
      <c r="C581"/>
      <c r="D581"/>
      <c r="E581"/>
      <c r="F581"/>
      <c r="G581"/>
      <c r="H581"/>
      <c r="I581"/>
      <c r="J581"/>
      <c r="K581"/>
      <c r="L581"/>
      <c r="M581"/>
      <c r="N581"/>
      <c r="O581"/>
    </row>
    <row r="582" spans="2:15" x14ac:dyDescent="0.25">
      <c r="B582"/>
      <c r="C582"/>
      <c r="D582"/>
      <c r="E582"/>
      <c r="F582"/>
      <c r="G582"/>
      <c r="H582"/>
      <c r="I582"/>
      <c r="J582"/>
      <c r="K582"/>
      <c r="L582"/>
      <c r="M582"/>
      <c r="N582"/>
      <c r="O582"/>
    </row>
    <row r="583" spans="2:15" x14ac:dyDescent="0.25">
      <c r="B583"/>
      <c r="C583"/>
      <c r="D583"/>
      <c r="E583"/>
      <c r="F583"/>
      <c r="G583"/>
      <c r="H583"/>
      <c r="I583"/>
      <c r="J583"/>
      <c r="K583"/>
      <c r="L583"/>
      <c r="M583"/>
      <c r="N583"/>
      <c r="O583"/>
    </row>
    <row r="584" spans="2:15" x14ac:dyDescent="0.25">
      <c r="B584"/>
      <c r="C584"/>
      <c r="D584"/>
      <c r="E584"/>
      <c r="F584"/>
      <c r="G584"/>
      <c r="H584"/>
      <c r="I584"/>
      <c r="J584"/>
      <c r="K584"/>
      <c r="L584"/>
      <c r="M584"/>
      <c r="N584"/>
      <c r="O584"/>
    </row>
    <row r="585" spans="2:15" x14ac:dyDescent="0.25">
      <c r="B585"/>
      <c r="C585"/>
      <c r="D585"/>
      <c r="E585"/>
      <c r="F585"/>
      <c r="G585"/>
      <c r="H585"/>
      <c r="I585"/>
      <c r="J585"/>
      <c r="K585"/>
      <c r="L585"/>
      <c r="M585"/>
      <c r="N585"/>
      <c r="O585"/>
    </row>
    <row r="586" spans="2:15" x14ac:dyDescent="0.25">
      <c r="B586"/>
      <c r="C586"/>
      <c r="D586"/>
      <c r="E586"/>
      <c r="F586"/>
      <c r="G586"/>
      <c r="H586"/>
      <c r="I586"/>
      <c r="J586"/>
      <c r="K586"/>
      <c r="L586"/>
      <c r="M586"/>
      <c r="N586"/>
      <c r="O586"/>
    </row>
    <row r="587" spans="2:15" x14ac:dyDescent="0.25">
      <c r="B587"/>
      <c r="C587"/>
      <c r="D587"/>
      <c r="E587"/>
      <c r="F587"/>
      <c r="G587"/>
      <c r="H587"/>
      <c r="I587"/>
      <c r="J587"/>
      <c r="K587"/>
      <c r="L587"/>
      <c r="M587"/>
      <c r="N587"/>
      <c r="O587"/>
    </row>
    <row r="588" spans="2:15" x14ac:dyDescent="0.25">
      <c r="B588"/>
      <c r="C588"/>
      <c r="D588"/>
      <c r="E588"/>
      <c r="F588"/>
      <c r="G588"/>
      <c r="H588"/>
      <c r="I588"/>
      <c r="J588"/>
      <c r="K588"/>
      <c r="L588"/>
      <c r="M588"/>
      <c r="N588"/>
      <c r="O588"/>
    </row>
    <row r="589" spans="2:15" x14ac:dyDescent="0.25">
      <c r="B589"/>
      <c r="C589"/>
      <c r="D589"/>
      <c r="E589"/>
      <c r="F589"/>
      <c r="G589"/>
      <c r="H589"/>
      <c r="I589"/>
      <c r="J589"/>
      <c r="K589"/>
      <c r="L589"/>
      <c r="M589"/>
      <c r="N589"/>
      <c r="O589"/>
    </row>
    <row r="590" spans="2:15" x14ac:dyDescent="0.25">
      <c r="B590"/>
      <c r="C590"/>
      <c r="D590"/>
      <c r="E590"/>
      <c r="F590"/>
      <c r="G590"/>
      <c r="H590"/>
      <c r="I590"/>
      <c r="J590"/>
      <c r="K590"/>
      <c r="L590"/>
      <c r="M590"/>
      <c r="N590"/>
      <c r="O590"/>
    </row>
    <row r="591" spans="2:15" x14ac:dyDescent="0.25">
      <c r="B591"/>
      <c r="C591"/>
      <c r="D591"/>
      <c r="E591"/>
      <c r="F591"/>
      <c r="G591"/>
      <c r="H591"/>
      <c r="I591"/>
      <c r="J591"/>
      <c r="K591"/>
      <c r="L591"/>
      <c r="M591"/>
      <c r="N591"/>
      <c r="O591"/>
    </row>
    <row r="592" spans="2:15" x14ac:dyDescent="0.25">
      <c r="B592"/>
      <c r="C592"/>
      <c r="D592"/>
      <c r="E592"/>
      <c r="F592"/>
      <c r="G592"/>
      <c r="H592"/>
      <c r="I592"/>
      <c r="J592"/>
      <c r="K592"/>
      <c r="L592"/>
      <c r="M592"/>
      <c r="N592"/>
      <c r="O592"/>
    </row>
    <row r="593" spans="2:15" x14ac:dyDescent="0.25">
      <c r="B593"/>
      <c r="C593"/>
      <c r="D593"/>
      <c r="E593"/>
      <c r="F593"/>
      <c r="G593"/>
      <c r="H593"/>
      <c r="I593"/>
      <c r="J593"/>
      <c r="K593"/>
      <c r="L593"/>
      <c r="M593"/>
      <c r="N593"/>
      <c r="O593"/>
    </row>
    <row r="594" spans="2:15" x14ac:dyDescent="0.25">
      <c r="B594"/>
      <c r="C594"/>
      <c r="D594"/>
      <c r="E594"/>
      <c r="F594"/>
      <c r="G594"/>
      <c r="H594"/>
      <c r="I594"/>
      <c r="J594"/>
      <c r="K594"/>
      <c r="L594"/>
      <c r="M594"/>
      <c r="N594"/>
      <c r="O594"/>
    </row>
    <row r="595" spans="2:15" x14ac:dyDescent="0.25">
      <c r="B595"/>
      <c r="C595"/>
      <c r="D595"/>
      <c r="E595"/>
      <c r="F595"/>
      <c r="G595"/>
      <c r="H595"/>
      <c r="I595"/>
      <c r="J595"/>
      <c r="K595"/>
      <c r="L595"/>
      <c r="M595"/>
      <c r="N595"/>
      <c r="O595"/>
    </row>
    <row r="596" spans="2:15" x14ac:dyDescent="0.25">
      <c r="B596"/>
      <c r="C596"/>
      <c r="D596"/>
      <c r="E596"/>
      <c r="F596"/>
      <c r="G596"/>
      <c r="H596"/>
      <c r="I596"/>
      <c r="J596"/>
      <c r="K596"/>
      <c r="L596"/>
      <c r="M596"/>
      <c r="N596"/>
      <c r="O596"/>
    </row>
    <row r="597" spans="2:15" x14ac:dyDescent="0.25">
      <c r="B597"/>
      <c r="C597"/>
      <c r="D597"/>
      <c r="E597"/>
      <c r="F597"/>
      <c r="G597"/>
      <c r="H597"/>
      <c r="I597"/>
      <c r="J597"/>
      <c r="K597"/>
      <c r="L597"/>
      <c r="M597"/>
      <c r="N597"/>
      <c r="O597"/>
    </row>
    <row r="598" spans="2:15" x14ac:dyDescent="0.25">
      <c r="B598"/>
      <c r="C598"/>
      <c r="D598"/>
      <c r="E598"/>
      <c r="F598"/>
      <c r="G598"/>
      <c r="H598"/>
      <c r="I598"/>
      <c r="J598"/>
      <c r="K598"/>
      <c r="L598"/>
      <c r="M598"/>
      <c r="N598"/>
      <c r="O598"/>
    </row>
    <row r="599" spans="2:15" x14ac:dyDescent="0.25">
      <c r="B599"/>
      <c r="C599"/>
      <c r="D599"/>
      <c r="E599"/>
      <c r="F599"/>
      <c r="G599"/>
      <c r="H599"/>
      <c r="I599"/>
      <c r="J599"/>
      <c r="K599"/>
      <c r="L599"/>
      <c r="M599"/>
      <c r="N599"/>
      <c r="O599"/>
    </row>
    <row r="600" spans="2:15" x14ac:dyDescent="0.25">
      <c r="B600"/>
      <c r="C600"/>
      <c r="D600"/>
      <c r="E600"/>
      <c r="F600"/>
      <c r="G600"/>
      <c r="H600"/>
      <c r="I600"/>
      <c r="J600"/>
      <c r="K600"/>
      <c r="L600"/>
      <c r="M600"/>
      <c r="N600"/>
      <c r="O600"/>
    </row>
    <row r="601" spans="2:15" x14ac:dyDescent="0.25">
      <c r="B601"/>
      <c r="C601"/>
      <c r="D601"/>
      <c r="E601"/>
      <c r="F601"/>
      <c r="G601"/>
      <c r="H601"/>
      <c r="I601"/>
      <c r="J601"/>
      <c r="K601"/>
      <c r="L601"/>
      <c r="M601"/>
      <c r="N601"/>
      <c r="O601"/>
    </row>
    <row r="602" spans="2:15" x14ac:dyDescent="0.25">
      <c r="B602"/>
      <c r="C602"/>
      <c r="D602"/>
      <c r="E602"/>
      <c r="F602"/>
      <c r="G602"/>
      <c r="H602"/>
      <c r="I602"/>
      <c r="J602"/>
      <c r="K602"/>
      <c r="L602"/>
      <c r="M602"/>
      <c r="N602"/>
      <c r="O602"/>
    </row>
    <row r="603" spans="2:15" x14ac:dyDescent="0.25">
      <c r="B603"/>
      <c r="C603"/>
      <c r="D603"/>
      <c r="E603"/>
      <c r="F603"/>
      <c r="G603"/>
      <c r="H603"/>
      <c r="I603"/>
      <c r="J603"/>
      <c r="K603"/>
      <c r="L603"/>
      <c r="M603"/>
      <c r="N603"/>
      <c r="O603"/>
    </row>
    <row r="604" spans="2:15" x14ac:dyDescent="0.25">
      <c r="B604"/>
      <c r="C604"/>
      <c r="D604"/>
      <c r="E604"/>
      <c r="F604"/>
      <c r="G604"/>
      <c r="H604"/>
      <c r="I604"/>
      <c r="J604"/>
      <c r="K604"/>
      <c r="L604"/>
      <c r="M604"/>
      <c r="N604"/>
      <c r="O604"/>
    </row>
    <row r="605" spans="2:15" x14ac:dyDescent="0.25">
      <c r="B605"/>
      <c r="C605"/>
      <c r="D605"/>
      <c r="E605"/>
      <c r="F605"/>
      <c r="G605"/>
      <c r="H605"/>
      <c r="I605"/>
      <c r="J605"/>
      <c r="K605"/>
      <c r="L605"/>
      <c r="M605"/>
      <c r="N605"/>
      <c r="O605"/>
    </row>
    <row r="606" spans="2:15" x14ac:dyDescent="0.25">
      <c r="B606"/>
      <c r="C606"/>
      <c r="D606"/>
      <c r="E606"/>
      <c r="F606"/>
      <c r="G606"/>
      <c r="H606"/>
      <c r="I606"/>
      <c r="J606"/>
      <c r="K606"/>
      <c r="L606"/>
      <c r="M606"/>
      <c r="N606"/>
      <c r="O606"/>
    </row>
    <row r="607" spans="2:15" x14ac:dyDescent="0.25">
      <c r="B607"/>
      <c r="C607"/>
      <c r="D607"/>
      <c r="E607"/>
      <c r="F607"/>
      <c r="G607"/>
      <c r="H607"/>
      <c r="I607"/>
      <c r="J607"/>
      <c r="K607"/>
      <c r="L607"/>
      <c r="M607"/>
      <c r="N607"/>
      <c r="O607"/>
    </row>
    <row r="608" spans="2:15" x14ac:dyDescent="0.25">
      <c r="B608"/>
      <c r="C608"/>
      <c r="D608"/>
      <c r="E608"/>
      <c r="F608"/>
      <c r="G608"/>
      <c r="H608"/>
      <c r="I608"/>
      <c r="J608"/>
      <c r="K608"/>
      <c r="L608"/>
      <c r="M608"/>
      <c r="N608"/>
      <c r="O608"/>
    </row>
    <row r="609" spans="2:15" x14ac:dyDescent="0.25">
      <c r="B609"/>
      <c r="C609"/>
      <c r="D609"/>
      <c r="E609"/>
      <c r="F609"/>
      <c r="G609"/>
      <c r="H609"/>
      <c r="I609"/>
      <c r="J609"/>
      <c r="K609"/>
      <c r="L609"/>
      <c r="M609"/>
      <c r="N609"/>
      <c r="O609"/>
    </row>
    <row r="610" spans="2:15" x14ac:dyDescent="0.25">
      <c r="B610"/>
      <c r="C610"/>
      <c r="D610"/>
      <c r="E610"/>
      <c r="F610"/>
      <c r="G610"/>
      <c r="H610"/>
      <c r="I610"/>
      <c r="J610"/>
      <c r="K610"/>
      <c r="L610"/>
      <c r="M610"/>
      <c r="N610"/>
      <c r="O610"/>
    </row>
    <row r="611" spans="2:15" x14ac:dyDescent="0.25">
      <c r="B611"/>
      <c r="C611"/>
      <c r="D611"/>
      <c r="E611"/>
      <c r="F611"/>
      <c r="G611"/>
      <c r="H611"/>
      <c r="I611"/>
      <c r="J611"/>
      <c r="K611"/>
      <c r="L611"/>
      <c r="M611"/>
      <c r="N611"/>
      <c r="O611"/>
    </row>
    <row r="612" spans="2:15" x14ac:dyDescent="0.25">
      <c r="B612"/>
      <c r="C612"/>
      <c r="D612"/>
      <c r="E612"/>
      <c r="F612"/>
      <c r="G612"/>
      <c r="H612"/>
      <c r="I612"/>
      <c r="J612"/>
      <c r="K612"/>
      <c r="L612"/>
      <c r="M612"/>
      <c r="N612"/>
      <c r="O612"/>
    </row>
    <row r="613" spans="2:15" x14ac:dyDescent="0.25">
      <c r="B613"/>
      <c r="C613"/>
      <c r="D613"/>
      <c r="E613"/>
      <c r="F613"/>
      <c r="G613"/>
      <c r="H613"/>
      <c r="I613"/>
      <c r="J613"/>
      <c r="K613"/>
      <c r="L613"/>
      <c r="M613"/>
      <c r="N613"/>
      <c r="O613"/>
    </row>
    <row r="614" spans="2:15" x14ac:dyDescent="0.25">
      <c r="B614"/>
      <c r="C614"/>
      <c r="D614"/>
      <c r="E614"/>
      <c r="F614"/>
      <c r="G614"/>
      <c r="H614"/>
      <c r="I614"/>
      <c r="J614"/>
      <c r="K614"/>
      <c r="L614"/>
      <c r="M614"/>
      <c r="N614"/>
      <c r="O614"/>
    </row>
    <row r="615" spans="2:15" x14ac:dyDescent="0.25">
      <c r="B615"/>
      <c r="C615"/>
      <c r="D615"/>
      <c r="E615"/>
      <c r="F615"/>
      <c r="G615"/>
      <c r="H615"/>
      <c r="I615"/>
      <c r="J615"/>
      <c r="K615"/>
      <c r="L615"/>
      <c r="M615"/>
      <c r="N615"/>
      <c r="O615"/>
    </row>
    <row r="616" spans="2:15" x14ac:dyDescent="0.25">
      <c r="B616"/>
      <c r="C616"/>
      <c r="D616"/>
      <c r="E616"/>
      <c r="F616"/>
      <c r="G616"/>
      <c r="H616"/>
      <c r="I616"/>
      <c r="J616"/>
      <c r="K616"/>
      <c r="L616"/>
      <c r="M616"/>
      <c r="N616"/>
      <c r="O616"/>
    </row>
    <row r="617" spans="2:15" x14ac:dyDescent="0.25">
      <c r="B617"/>
      <c r="C617"/>
      <c r="D617"/>
      <c r="E617"/>
      <c r="F617"/>
      <c r="G617"/>
      <c r="H617"/>
      <c r="I617"/>
      <c r="J617"/>
      <c r="K617"/>
      <c r="L617"/>
      <c r="M617"/>
      <c r="N617"/>
      <c r="O617"/>
    </row>
    <row r="618" spans="2:15" x14ac:dyDescent="0.25">
      <c r="B618"/>
      <c r="C618"/>
      <c r="D618"/>
      <c r="E618"/>
      <c r="F618"/>
      <c r="G618"/>
      <c r="H618"/>
      <c r="I618"/>
      <c r="J618"/>
      <c r="K618"/>
      <c r="L618"/>
      <c r="M618"/>
      <c r="N618"/>
      <c r="O618"/>
    </row>
    <row r="619" spans="2:15" x14ac:dyDescent="0.25">
      <c r="B619"/>
      <c r="C619"/>
      <c r="D619"/>
      <c r="E619"/>
      <c r="F619"/>
      <c r="G619"/>
      <c r="H619"/>
      <c r="I619"/>
      <c r="J619"/>
      <c r="K619"/>
      <c r="L619"/>
      <c r="M619"/>
      <c r="N619"/>
      <c r="O619"/>
    </row>
    <row r="620" spans="2:15" x14ac:dyDescent="0.25">
      <c r="B620"/>
      <c r="C620"/>
      <c r="D620"/>
      <c r="E620"/>
      <c r="F620"/>
      <c r="G620"/>
      <c r="H620"/>
      <c r="I620"/>
      <c r="J620"/>
      <c r="K620"/>
      <c r="L620"/>
      <c r="M620"/>
      <c r="N620"/>
      <c r="O620"/>
    </row>
    <row r="621" spans="2:15" x14ac:dyDescent="0.25">
      <c r="B621"/>
      <c r="C621"/>
      <c r="D621"/>
      <c r="E621"/>
      <c r="F621"/>
      <c r="G621"/>
      <c r="H621"/>
      <c r="I621"/>
      <c r="J621"/>
      <c r="K621"/>
      <c r="L621"/>
      <c r="M621"/>
      <c r="N621"/>
      <c r="O621"/>
    </row>
    <row r="622" spans="2:15" x14ac:dyDescent="0.25">
      <c r="B622"/>
      <c r="C622"/>
      <c r="D622"/>
      <c r="E622"/>
      <c r="F622"/>
      <c r="G622"/>
      <c r="H622"/>
      <c r="I622"/>
      <c r="J622"/>
      <c r="K622"/>
      <c r="L622"/>
      <c r="M622"/>
      <c r="N622"/>
      <c r="O622"/>
    </row>
    <row r="623" spans="2:15" x14ac:dyDescent="0.25">
      <c r="B623"/>
      <c r="C623"/>
      <c r="D623"/>
      <c r="E623"/>
      <c r="F623"/>
      <c r="G623"/>
      <c r="H623"/>
      <c r="I623"/>
      <c r="J623"/>
      <c r="K623"/>
      <c r="L623"/>
      <c r="M623"/>
      <c r="N623"/>
      <c r="O623"/>
    </row>
    <row r="624" spans="2:15" x14ac:dyDescent="0.25">
      <c r="B624"/>
      <c r="C624"/>
      <c r="D624"/>
      <c r="E624"/>
      <c r="F624"/>
      <c r="G624"/>
      <c r="H624"/>
      <c r="I624"/>
      <c r="J624"/>
      <c r="K624"/>
      <c r="L624"/>
      <c r="M624"/>
      <c r="N624"/>
      <c r="O624"/>
    </row>
    <row r="625" spans="2:15" x14ac:dyDescent="0.25">
      <c r="B625"/>
      <c r="C625"/>
      <c r="D625"/>
      <c r="E625"/>
      <c r="F625"/>
      <c r="G625"/>
      <c r="H625"/>
      <c r="I625"/>
      <c r="J625"/>
      <c r="K625"/>
      <c r="L625"/>
      <c r="M625"/>
      <c r="N625"/>
      <c r="O625"/>
    </row>
    <row r="626" spans="2:15" x14ac:dyDescent="0.25">
      <c r="B626"/>
      <c r="C626"/>
      <c r="D626"/>
      <c r="E626"/>
      <c r="F626"/>
      <c r="G626"/>
      <c r="H626"/>
      <c r="I626"/>
      <c r="J626"/>
      <c r="K626"/>
      <c r="L626"/>
      <c r="M626"/>
      <c r="N626"/>
      <c r="O626"/>
    </row>
    <row r="627" spans="2:15" x14ac:dyDescent="0.25">
      <c r="B627"/>
      <c r="C627"/>
      <c r="D627"/>
      <c r="E627"/>
      <c r="F627"/>
      <c r="G627"/>
      <c r="H627"/>
      <c r="I627"/>
      <c r="J627"/>
      <c r="K627"/>
      <c r="L627"/>
      <c r="M627"/>
      <c r="N627"/>
      <c r="O627"/>
    </row>
    <row r="628" spans="2:15" x14ac:dyDescent="0.25">
      <c r="B628"/>
      <c r="C628"/>
      <c r="D628"/>
      <c r="E628"/>
      <c r="F628"/>
      <c r="G628"/>
      <c r="H628"/>
      <c r="I628"/>
      <c r="J628"/>
      <c r="K628"/>
      <c r="L628"/>
      <c r="M628"/>
      <c r="N628"/>
      <c r="O628"/>
    </row>
    <row r="629" spans="2:15" x14ac:dyDescent="0.25">
      <c r="B629"/>
      <c r="C629"/>
      <c r="D629"/>
      <c r="E629"/>
      <c r="F629"/>
      <c r="G629"/>
      <c r="H629"/>
      <c r="I629"/>
      <c r="J629"/>
      <c r="K629"/>
      <c r="L629"/>
      <c r="M629"/>
      <c r="N629"/>
      <c r="O629"/>
    </row>
    <row r="630" spans="2:15" x14ac:dyDescent="0.25">
      <c r="B630"/>
      <c r="C630"/>
      <c r="D630"/>
      <c r="E630"/>
      <c r="F630"/>
      <c r="G630"/>
      <c r="H630"/>
      <c r="I630"/>
      <c r="J630"/>
      <c r="K630"/>
      <c r="L630"/>
      <c r="M630"/>
      <c r="N630"/>
      <c r="O630"/>
    </row>
    <row r="631" spans="2:15" x14ac:dyDescent="0.25">
      <c r="B631"/>
      <c r="C631"/>
      <c r="D631"/>
      <c r="E631"/>
      <c r="F631"/>
      <c r="G631"/>
      <c r="H631"/>
      <c r="I631"/>
      <c r="J631"/>
      <c r="K631"/>
      <c r="L631"/>
      <c r="M631"/>
      <c r="N631"/>
      <c r="O631"/>
    </row>
    <row r="632" spans="2:15" x14ac:dyDescent="0.25">
      <c r="B632"/>
      <c r="C632"/>
      <c r="D632"/>
      <c r="E632"/>
      <c r="F632"/>
      <c r="G632"/>
      <c r="H632"/>
      <c r="I632"/>
      <c r="J632"/>
      <c r="K632"/>
      <c r="L632"/>
      <c r="M632"/>
      <c r="N632"/>
      <c r="O632"/>
    </row>
    <row r="633" spans="2:15" x14ac:dyDescent="0.25">
      <c r="B633"/>
      <c r="C633"/>
      <c r="D633"/>
      <c r="E633"/>
      <c r="F633"/>
      <c r="G633"/>
      <c r="H633"/>
      <c r="I633"/>
      <c r="J633"/>
      <c r="K633"/>
      <c r="L633"/>
      <c r="M633"/>
      <c r="N633"/>
      <c r="O633"/>
    </row>
    <row r="634" spans="2:15" x14ac:dyDescent="0.25">
      <c r="B634"/>
      <c r="C634"/>
      <c r="D634"/>
      <c r="E634"/>
      <c r="F634"/>
      <c r="G634"/>
      <c r="H634"/>
      <c r="I634"/>
      <c r="J634"/>
      <c r="K634"/>
      <c r="L634"/>
      <c r="M634"/>
      <c r="N634"/>
      <c r="O634"/>
    </row>
    <row r="635" spans="2:15" x14ac:dyDescent="0.25">
      <c r="B635"/>
      <c r="C635"/>
      <c r="D635"/>
      <c r="E635"/>
      <c r="F635"/>
      <c r="G635"/>
      <c r="H635"/>
      <c r="I635"/>
      <c r="J635"/>
      <c r="K635"/>
      <c r="L635"/>
      <c r="M635"/>
      <c r="N635"/>
      <c r="O635"/>
    </row>
    <row r="636" spans="2:15" x14ac:dyDescent="0.25">
      <c r="B636"/>
      <c r="C636"/>
      <c r="D636"/>
      <c r="E636"/>
      <c r="F636"/>
      <c r="G636"/>
      <c r="H636"/>
      <c r="I636"/>
      <c r="J636"/>
      <c r="K636"/>
      <c r="L636"/>
      <c r="M636"/>
      <c r="N636"/>
      <c r="O636"/>
    </row>
    <row r="637" spans="2:15" x14ac:dyDescent="0.25">
      <c r="B637"/>
      <c r="C637"/>
      <c r="D637"/>
      <c r="E637"/>
      <c r="F637"/>
      <c r="G637"/>
      <c r="H637"/>
      <c r="I637"/>
      <c r="J637"/>
      <c r="K637"/>
      <c r="L637"/>
      <c r="M637"/>
      <c r="N637"/>
      <c r="O637"/>
    </row>
    <row r="638" spans="2:15" x14ac:dyDescent="0.25">
      <c r="B638"/>
      <c r="C638"/>
      <c r="D638"/>
      <c r="E638"/>
      <c r="F638"/>
      <c r="G638"/>
      <c r="H638"/>
      <c r="I638"/>
      <c r="J638"/>
      <c r="K638"/>
      <c r="L638"/>
      <c r="M638"/>
      <c r="N638"/>
      <c r="O638"/>
    </row>
    <row r="639" spans="2:15" x14ac:dyDescent="0.25">
      <c r="B639"/>
      <c r="C639"/>
      <c r="D639"/>
      <c r="E639"/>
      <c r="F639"/>
      <c r="G639"/>
      <c r="H639"/>
      <c r="I639"/>
      <c r="J639"/>
      <c r="K639"/>
      <c r="L639"/>
      <c r="M639"/>
      <c r="N639"/>
      <c r="O639"/>
    </row>
    <row r="640" spans="2:15" x14ac:dyDescent="0.25">
      <c r="B640"/>
      <c r="C640"/>
      <c r="D640"/>
      <c r="E640"/>
      <c r="F640"/>
      <c r="G640"/>
      <c r="H640"/>
      <c r="I640"/>
      <c r="J640"/>
      <c r="K640"/>
      <c r="L640"/>
      <c r="M640"/>
      <c r="N640"/>
      <c r="O640"/>
    </row>
    <row r="641" spans="2:15" x14ac:dyDescent="0.25">
      <c r="B641"/>
      <c r="C641"/>
      <c r="D641"/>
      <c r="E641"/>
      <c r="F641"/>
      <c r="G641"/>
      <c r="H641"/>
      <c r="I641"/>
      <c r="J641"/>
      <c r="K641"/>
      <c r="L641"/>
      <c r="M641"/>
      <c r="N641"/>
      <c r="O641"/>
    </row>
    <row r="642" spans="2:15" x14ac:dyDescent="0.25">
      <c r="B642"/>
      <c r="C642"/>
      <c r="D642"/>
      <c r="E642"/>
      <c r="F642"/>
      <c r="G642"/>
      <c r="H642"/>
      <c r="I642"/>
      <c r="J642"/>
      <c r="K642"/>
      <c r="L642"/>
      <c r="M642"/>
      <c r="N642"/>
      <c r="O642"/>
    </row>
    <row r="643" spans="2:15" x14ac:dyDescent="0.25">
      <c r="B643"/>
      <c r="C643"/>
      <c r="D643"/>
      <c r="E643"/>
      <c r="F643"/>
      <c r="G643"/>
      <c r="H643"/>
      <c r="I643"/>
      <c r="J643"/>
      <c r="K643"/>
      <c r="L643"/>
      <c r="M643"/>
      <c r="N643"/>
      <c r="O643"/>
    </row>
    <row r="644" spans="2:15" x14ac:dyDescent="0.25">
      <c r="B644"/>
      <c r="C644"/>
      <c r="D644"/>
      <c r="E644"/>
      <c r="F644"/>
      <c r="G644"/>
      <c r="H644"/>
      <c r="I644"/>
      <c r="J644"/>
      <c r="K644"/>
      <c r="L644"/>
      <c r="M644"/>
      <c r="N644"/>
      <c r="O644"/>
    </row>
    <row r="645" spans="2:15" x14ac:dyDescent="0.25">
      <c r="B645"/>
      <c r="C645"/>
      <c r="D645"/>
      <c r="E645"/>
      <c r="F645"/>
      <c r="G645"/>
      <c r="H645"/>
      <c r="I645"/>
      <c r="J645"/>
      <c r="K645"/>
      <c r="L645"/>
      <c r="M645"/>
      <c r="N645"/>
      <c r="O645"/>
    </row>
    <row r="646" spans="2:15" x14ac:dyDescent="0.25">
      <c r="B646"/>
      <c r="C646"/>
      <c r="D646"/>
      <c r="E646"/>
      <c r="F646"/>
      <c r="G646"/>
      <c r="H646"/>
      <c r="I646"/>
      <c r="J646"/>
      <c r="K646"/>
      <c r="L646"/>
      <c r="M646"/>
      <c r="N646"/>
      <c r="O646"/>
    </row>
    <row r="647" spans="2:15" x14ac:dyDescent="0.25">
      <c r="B647"/>
      <c r="C647"/>
      <c r="D647"/>
      <c r="E647"/>
      <c r="F647"/>
      <c r="G647"/>
      <c r="H647"/>
      <c r="I647"/>
      <c r="J647"/>
      <c r="K647"/>
      <c r="L647"/>
      <c r="M647"/>
      <c r="N647"/>
      <c r="O647"/>
    </row>
    <row r="648" spans="2:15" x14ac:dyDescent="0.25">
      <c r="B648"/>
      <c r="C648"/>
      <c r="D648"/>
      <c r="E648"/>
      <c r="F648"/>
      <c r="G648"/>
      <c r="H648"/>
      <c r="I648"/>
      <c r="J648"/>
      <c r="K648"/>
      <c r="L648"/>
      <c r="M648"/>
      <c r="N648"/>
      <c r="O648"/>
    </row>
    <row r="649" spans="2:15" x14ac:dyDescent="0.25">
      <c r="B649"/>
      <c r="C649"/>
      <c r="D649"/>
      <c r="E649"/>
      <c r="F649"/>
      <c r="G649"/>
      <c r="H649"/>
      <c r="I649"/>
      <c r="J649"/>
      <c r="K649"/>
      <c r="L649"/>
      <c r="M649"/>
      <c r="N649"/>
      <c r="O649"/>
    </row>
    <row r="650" spans="2:15" x14ac:dyDescent="0.25">
      <c r="B650"/>
      <c r="C650"/>
      <c r="D650"/>
      <c r="E650"/>
      <c r="F650"/>
      <c r="G650"/>
      <c r="H650"/>
      <c r="I650"/>
      <c r="J650"/>
      <c r="K650"/>
      <c r="L650"/>
      <c r="M650"/>
      <c r="N650"/>
      <c r="O650"/>
    </row>
    <row r="651" spans="2:15" x14ac:dyDescent="0.25">
      <c r="B651"/>
      <c r="C651"/>
      <c r="D651"/>
      <c r="E651"/>
      <c r="F651"/>
      <c r="G651"/>
      <c r="H651"/>
      <c r="I651"/>
      <c r="J651"/>
      <c r="K651"/>
      <c r="L651"/>
      <c r="M651"/>
      <c r="N651"/>
      <c r="O651"/>
    </row>
    <row r="652" spans="2:15" x14ac:dyDescent="0.25">
      <c r="B652"/>
      <c r="C652"/>
      <c r="D652"/>
      <c r="E652"/>
      <c r="F652"/>
      <c r="G652"/>
      <c r="H652"/>
      <c r="I652"/>
      <c r="J652"/>
      <c r="K652"/>
      <c r="L652"/>
      <c r="M652"/>
      <c r="N652"/>
      <c r="O652"/>
    </row>
    <row r="653" spans="2:15" x14ac:dyDescent="0.25">
      <c r="B653"/>
      <c r="C653"/>
      <c r="D653"/>
      <c r="E653"/>
      <c r="F653"/>
      <c r="G653"/>
      <c r="H653"/>
      <c r="I653"/>
      <c r="J653"/>
      <c r="K653"/>
      <c r="L653"/>
      <c r="M653"/>
      <c r="N653"/>
      <c r="O653"/>
    </row>
    <row r="654" spans="2:15" x14ac:dyDescent="0.25">
      <c r="B654"/>
      <c r="C654"/>
      <c r="D654"/>
      <c r="E654"/>
      <c r="F654"/>
      <c r="G654"/>
      <c r="H654"/>
      <c r="I654"/>
      <c r="J654"/>
      <c r="K654"/>
      <c r="L654"/>
      <c r="M654"/>
      <c r="N654"/>
      <c r="O654"/>
    </row>
    <row r="655" spans="2:15" x14ac:dyDescent="0.25">
      <c r="B655"/>
      <c r="C655"/>
      <c r="D655"/>
      <c r="E655"/>
      <c r="F655"/>
      <c r="G655"/>
      <c r="H655"/>
      <c r="I655"/>
      <c r="J655"/>
      <c r="K655"/>
      <c r="L655"/>
      <c r="M655"/>
      <c r="N655"/>
      <c r="O655"/>
    </row>
    <row r="656" spans="2:15" x14ac:dyDescent="0.25">
      <c r="B656"/>
      <c r="C656"/>
      <c r="D656"/>
      <c r="E656"/>
      <c r="F656"/>
      <c r="G656"/>
      <c r="H656"/>
      <c r="I656"/>
      <c r="J656"/>
      <c r="K656"/>
      <c r="L656"/>
      <c r="M656"/>
      <c r="N656"/>
      <c r="O656"/>
    </row>
    <row r="657" spans="2:15" x14ac:dyDescent="0.25">
      <c r="B657"/>
      <c r="C657"/>
      <c r="D657"/>
      <c r="E657"/>
      <c r="F657"/>
      <c r="G657"/>
      <c r="H657"/>
      <c r="I657"/>
      <c r="J657"/>
      <c r="K657"/>
      <c r="L657"/>
      <c r="M657"/>
      <c r="N657"/>
      <c r="O657"/>
    </row>
    <row r="658" spans="2:15" x14ac:dyDescent="0.25">
      <c r="B658"/>
      <c r="C658"/>
      <c r="D658"/>
      <c r="E658"/>
      <c r="F658"/>
      <c r="G658"/>
      <c r="H658"/>
      <c r="I658"/>
      <c r="J658"/>
      <c r="K658"/>
      <c r="L658"/>
      <c r="M658"/>
      <c r="N658"/>
      <c r="O658"/>
    </row>
    <row r="659" spans="2:15" x14ac:dyDescent="0.25">
      <c r="B659"/>
      <c r="C659"/>
      <c r="D659"/>
      <c r="E659"/>
      <c r="F659"/>
      <c r="G659"/>
      <c r="H659"/>
      <c r="I659"/>
      <c r="J659"/>
      <c r="K659"/>
      <c r="L659"/>
      <c r="M659"/>
      <c r="N659"/>
      <c r="O659"/>
    </row>
    <row r="660" spans="2:15" x14ac:dyDescent="0.25">
      <c r="B660"/>
      <c r="C660"/>
      <c r="D660"/>
      <c r="E660"/>
      <c r="F660"/>
      <c r="G660"/>
      <c r="H660"/>
      <c r="I660"/>
      <c r="J660"/>
      <c r="K660"/>
      <c r="L660"/>
      <c r="M660"/>
      <c r="N660"/>
      <c r="O660"/>
    </row>
    <row r="661" spans="2:15" x14ac:dyDescent="0.25">
      <c r="B661"/>
      <c r="C661"/>
      <c r="D661"/>
      <c r="E661"/>
      <c r="F661"/>
      <c r="G661"/>
      <c r="H661"/>
      <c r="I661"/>
      <c r="J661"/>
      <c r="K661"/>
      <c r="L661"/>
      <c r="M661"/>
      <c r="N661"/>
      <c r="O661"/>
    </row>
    <row r="662" spans="2:15" x14ac:dyDescent="0.25">
      <c r="B662"/>
      <c r="C662"/>
      <c r="D662"/>
      <c r="E662"/>
      <c r="F662"/>
      <c r="G662"/>
      <c r="H662"/>
      <c r="I662"/>
      <c r="J662"/>
      <c r="K662"/>
      <c r="L662"/>
      <c r="M662"/>
      <c r="N662"/>
      <c r="O662"/>
    </row>
    <row r="663" spans="2:15" x14ac:dyDescent="0.25">
      <c r="B663"/>
      <c r="C663"/>
      <c r="D663"/>
      <c r="E663"/>
      <c r="F663"/>
      <c r="G663"/>
      <c r="H663"/>
      <c r="I663"/>
      <c r="J663"/>
      <c r="K663"/>
      <c r="L663"/>
      <c r="M663"/>
      <c r="N663"/>
      <c r="O663"/>
    </row>
    <row r="664" spans="2:15" x14ac:dyDescent="0.25">
      <c r="B664"/>
      <c r="C664"/>
      <c r="D664"/>
      <c r="E664"/>
      <c r="F664"/>
      <c r="G664"/>
      <c r="H664"/>
      <c r="I664"/>
      <c r="J664"/>
      <c r="K664"/>
      <c r="L664"/>
      <c r="M664"/>
      <c r="N664"/>
      <c r="O664"/>
    </row>
    <row r="665" spans="2:15" x14ac:dyDescent="0.25">
      <c r="B665"/>
      <c r="C665"/>
      <c r="D665"/>
      <c r="E665"/>
      <c r="F665"/>
      <c r="G665"/>
      <c r="H665"/>
      <c r="I665"/>
      <c r="J665"/>
      <c r="K665"/>
      <c r="L665"/>
      <c r="M665"/>
      <c r="N665"/>
      <c r="O665"/>
    </row>
    <row r="666" spans="2:15" x14ac:dyDescent="0.25">
      <c r="B666"/>
      <c r="C666"/>
      <c r="D666"/>
      <c r="E666"/>
      <c r="F666"/>
      <c r="G666"/>
      <c r="H666"/>
      <c r="I666"/>
      <c r="J666"/>
      <c r="K666"/>
      <c r="L666"/>
      <c r="M666"/>
      <c r="N666"/>
      <c r="O666"/>
    </row>
    <row r="667" spans="2:15" x14ac:dyDescent="0.25">
      <c r="B667"/>
      <c r="C667"/>
      <c r="D667"/>
      <c r="E667"/>
      <c r="F667"/>
      <c r="G667"/>
      <c r="H667"/>
      <c r="I667"/>
      <c r="J667"/>
      <c r="K667"/>
      <c r="L667"/>
      <c r="M667"/>
      <c r="N667"/>
      <c r="O667"/>
    </row>
    <row r="668" spans="2:15" x14ac:dyDescent="0.25">
      <c r="B668"/>
      <c r="C668"/>
      <c r="D668"/>
      <c r="E668"/>
      <c r="F668"/>
      <c r="G668"/>
      <c r="H668"/>
      <c r="I668"/>
      <c r="J668"/>
      <c r="K668"/>
      <c r="L668"/>
      <c r="M668"/>
      <c r="N668"/>
      <c r="O668"/>
    </row>
    <row r="669" spans="2:15" x14ac:dyDescent="0.25">
      <c r="B669"/>
      <c r="C669"/>
      <c r="D669"/>
      <c r="E669"/>
      <c r="F669"/>
      <c r="G669"/>
      <c r="H669"/>
      <c r="I669"/>
      <c r="J669"/>
      <c r="K669"/>
      <c r="L669"/>
      <c r="M669"/>
      <c r="N669"/>
      <c r="O669"/>
    </row>
    <row r="670" spans="2:15" x14ac:dyDescent="0.25">
      <c r="B670"/>
      <c r="C670"/>
      <c r="D670"/>
      <c r="E670"/>
      <c r="F670"/>
      <c r="G670"/>
      <c r="H670"/>
      <c r="I670"/>
      <c r="J670"/>
      <c r="K670"/>
      <c r="L670"/>
      <c r="M670"/>
      <c r="N670"/>
      <c r="O670"/>
    </row>
    <row r="671" spans="2:15" x14ac:dyDescent="0.25">
      <c r="B671"/>
      <c r="C671"/>
      <c r="D671"/>
      <c r="E671"/>
      <c r="F671"/>
      <c r="G671"/>
      <c r="H671"/>
      <c r="I671"/>
      <c r="J671"/>
      <c r="K671"/>
      <c r="L671"/>
      <c r="M671"/>
      <c r="N671"/>
      <c r="O671"/>
    </row>
    <row r="672" spans="2:15" x14ac:dyDescent="0.25">
      <c r="B672"/>
      <c r="C672"/>
      <c r="D672"/>
      <c r="E672"/>
      <c r="F672"/>
      <c r="G672"/>
      <c r="H672"/>
      <c r="I672"/>
      <c r="J672"/>
      <c r="K672"/>
      <c r="L672"/>
      <c r="M672"/>
      <c r="N672"/>
      <c r="O672"/>
    </row>
    <row r="673" spans="2:15" x14ac:dyDescent="0.25">
      <c r="B673"/>
      <c r="C673"/>
      <c r="D673"/>
      <c r="E673"/>
      <c r="F673"/>
      <c r="G673"/>
      <c r="H673"/>
      <c r="I673"/>
      <c r="J673"/>
      <c r="K673"/>
      <c r="L673"/>
      <c r="M673"/>
      <c r="N673"/>
      <c r="O673"/>
    </row>
    <row r="674" spans="2:15" x14ac:dyDescent="0.25">
      <c r="B674"/>
      <c r="C674"/>
      <c r="D674"/>
      <c r="E674"/>
      <c r="F674"/>
      <c r="G674"/>
      <c r="H674"/>
      <c r="I674"/>
      <c r="J674"/>
      <c r="K674"/>
      <c r="L674"/>
      <c r="M674"/>
      <c r="N674"/>
      <c r="O674"/>
    </row>
    <row r="675" spans="2:15" x14ac:dyDescent="0.25">
      <c r="B675"/>
      <c r="C675"/>
      <c r="D675"/>
      <c r="E675"/>
      <c r="F675"/>
      <c r="G675"/>
      <c r="H675"/>
      <c r="I675"/>
      <c r="J675"/>
      <c r="K675"/>
      <c r="L675"/>
      <c r="M675"/>
      <c r="N675"/>
      <c r="O675"/>
    </row>
    <row r="676" spans="2:15" x14ac:dyDescent="0.25">
      <c r="B676"/>
      <c r="C676"/>
      <c r="D676"/>
      <c r="E676"/>
      <c r="F676"/>
      <c r="G676"/>
      <c r="H676"/>
      <c r="I676"/>
      <c r="J676"/>
      <c r="K676"/>
      <c r="L676"/>
      <c r="M676"/>
      <c r="N676"/>
      <c r="O676"/>
    </row>
    <row r="677" spans="2:15" x14ac:dyDescent="0.25">
      <c r="B677"/>
      <c r="C677"/>
      <c r="D677"/>
      <c r="E677"/>
      <c r="F677"/>
      <c r="G677"/>
      <c r="H677"/>
      <c r="I677"/>
      <c r="J677"/>
      <c r="K677"/>
      <c r="L677"/>
      <c r="M677"/>
      <c r="N677"/>
      <c r="O677"/>
    </row>
    <row r="678" spans="2:15" x14ac:dyDescent="0.25">
      <c r="B678"/>
      <c r="C678"/>
      <c r="D678"/>
      <c r="E678"/>
      <c r="F678"/>
      <c r="G678"/>
      <c r="H678"/>
      <c r="I678"/>
      <c r="J678"/>
      <c r="K678"/>
      <c r="L678"/>
      <c r="M678"/>
      <c r="N678"/>
      <c r="O678"/>
    </row>
    <row r="679" spans="2:15" x14ac:dyDescent="0.25">
      <c r="B679"/>
      <c r="C679"/>
      <c r="D679"/>
      <c r="E679"/>
      <c r="F679"/>
      <c r="G679"/>
      <c r="H679"/>
      <c r="I679"/>
      <c r="J679"/>
      <c r="K679"/>
      <c r="L679"/>
      <c r="M679"/>
      <c r="N679"/>
      <c r="O679"/>
    </row>
    <row r="680" spans="2:15" x14ac:dyDescent="0.25">
      <c r="B680"/>
      <c r="C680"/>
      <c r="D680"/>
      <c r="E680"/>
      <c r="F680"/>
      <c r="G680"/>
      <c r="H680"/>
      <c r="I680"/>
      <c r="J680"/>
      <c r="K680"/>
      <c r="L680"/>
      <c r="M680"/>
      <c r="N680"/>
      <c r="O680"/>
    </row>
    <row r="681" spans="2:15" x14ac:dyDescent="0.25">
      <c r="B681"/>
      <c r="C681"/>
      <c r="D681"/>
      <c r="E681"/>
      <c r="F681"/>
      <c r="G681"/>
      <c r="H681"/>
      <c r="I681"/>
      <c r="J681"/>
      <c r="K681"/>
      <c r="L681"/>
      <c r="M681"/>
      <c r="N681"/>
      <c r="O681"/>
    </row>
    <row r="682" spans="2:15" x14ac:dyDescent="0.25">
      <c r="B682"/>
      <c r="C682"/>
      <c r="D682"/>
      <c r="E682"/>
      <c r="F682"/>
      <c r="G682"/>
      <c r="H682"/>
      <c r="I682"/>
      <c r="J682"/>
      <c r="K682"/>
      <c r="L682"/>
      <c r="M682"/>
      <c r="N682"/>
      <c r="O682"/>
    </row>
    <row r="683" spans="2:15" x14ac:dyDescent="0.25">
      <c r="B683"/>
      <c r="C683"/>
      <c r="D683"/>
      <c r="E683"/>
      <c r="F683"/>
      <c r="G683"/>
      <c r="H683"/>
      <c r="I683"/>
      <c r="J683"/>
      <c r="K683"/>
      <c r="L683"/>
      <c r="M683"/>
      <c r="N683"/>
      <c r="O683"/>
    </row>
    <row r="684" spans="2:15" x14ac:dyDescent="0.25">
      <c r="B684"/>
      <c r="C684"/>
      <c r="D684"/>
      <c r="E684"/>
      <c r="F684"/>
      <c r="G684"/>
      <c r="H684"/>
      <c r="I684"/>
      <c r="J684"/>
      <c r="K684"/>
      <c r="L684"/>
      <c r="M684"/>
      <c r="N684"/>
      <c r="O684"/>
    </row>
    <row r="685" spans="2:15" x14ac:dyDescent="0.25">
      <c r="B685"/>
      <c r="C685"/>
      <c r="D685"/>
      <c r="E685"/>
      <c r="F685"/>
      <c r="G685"/>
      <c r="H685"/>
      <c r="I685"/>
      <c r="J685"/>
      <c r="K685"/>
      <c r="L685"/>
      <c r="M685"/>
      <c r="N685"/>
      <c r="O685"/>
    </row>
    <row r="686" spans="2:15" x14ac:dyDescent="0.25">
      <c r="B686"/>
      <c r="C686"/>
      <c r="D686"/>
      <c r="E686"/>
      <c r="F686"/>
      <c r="G686"/>
      <c r="H686"/>
      <c r="I686"/>
      <c r="J686"/>
      <c r="K686"/>
      <c r="L686"/>
      <c r="M686"/>
      <c r="N686"/>
      <c r="O686"/>
    </row>
    <row r="687" spans="2:15" x14ac:dyDescent="0.25">
      <c r="B687"/>
      <c r="C687"/>
      <c r="D687"/>
      <c r="E687"/>
      <c r="F687"/>
      <c r="G687"/>
      <c r="H687"/>
      <c r="I687"/>
      <c r="J687"/>
      <c r="K687"/>
      <c r="L687"/>
      <c r="M687"/>
      <c r="N687"/>
      <c r="O687"/>
    </row>
    <row r="688" spans="2:15" x14ac:dyDescent="0.25">
      <c r="B688"/>
      <c r="C688"/>
      <c r="D688"/>
      <c r="E688"/>
      <c r="F688"/>
      <c r="G688"/>
      <c r="H688"/>
      <c r="I688"/>
      <c r="J688"/>
      <c r="K688"/>
      <c r="L688"/>
      <c r="M688"/>
      <c r="N688"/>
      <c r="O688"/>
    </row>
    <row r="689" spans="2:15" x14ac:dyDescent="0.25">
      <c r="B689"/>
      <c r="C689"/>
      <c r="D689"/>
      <c r="E689"/>
      <c r="F689"/>
      <c r="G689"/>
      <c r="H689"/>
      <c r="I689"/>
      <c r="J689"/>
      <c r="K689"/>
      <c r="L689"/>
      <c r="M689"/>
      <c r="N689"/>
      <c r="O689"/>
    </row>
    <row r="690" spans="2:15" x14ac:dyDescent="0.25">
      <c r="B690"/>
      <c r="C690"/>
      <c r="D690"/>
      <c r="E690"/>
      <c r="F690"/>
      <c r="G690"/>
      <c r="H690"/>
      <c r="I690"/>
      <c r="J690"/>
      <c r="K690"/>
      <c r="L690"/>
      <c r="M690"/>
      <c r="N690"/>
      <c r="O690"/>
    </row>
    <row r="691" spans="2:15" x14ac:dyDescent="0.25">
      <c r="B691"/>
      <c r="C691"/>
      <c r="D691"/>
      <c r="E691"/>
      <c r="F691"/>
      <c r="G691"/>
      <c r="H691"/>
      <c r="I691"/>
      <c r="J691"/>
      <c r="K691"/>
      <c r="L691"/>
      <c r="M691"/>
      <c r="N691"/>
      <c r="O691"/>
    </row>
    <row r="692" spans="2:15" x14ac:dyDescent="0.25">
      <c r="B692"/>
      <c r="C692"/>
      <c r="D692"/>
      <c r="E692"/>
      <c r="F692"/>
      <c r="G692"/>
      <c r="H692"/>
      <c r="I692"/>
      <c r="J692"/>
      <c r="K692"/>
      <c r="L692"/>
      <c r="M692"/>
      <c r="N692"/>
      <c r="O692"/>
    </row>
    <row r="693" spans="2:15" x14ac:dyDescent="0.25">
      <c r="B693"/>
      <c r="C693"/>
      <c r="D693"/>
      <c r="E693"/>
      <c r="F693"/>
      <c r="G693"/>
      <c r="H693"/>
      <c r="I693"/>
      <c r="J693"/>
      <c r="K693"/>
      <c r="L693"/>
      <c r="M693"/>
      <c r="N693"/>
      <c r="O693"/>
    </row>
    <row r="694" spans="2:15" x14ac:dyDescent="0.25">
      <c r="B694"/>
      <c r="C694"/>
      <c r="D694"/>
      <c r="E694"/>
      <c r="F694"/>
      <c r="G694"/>
      <c r="H694"/>
      <c r="I694"/>
      <c r="J694"/>
      <c r="K694"/>
      <c r="L694"/>
      <c r="M694"/>
      <c r="N694"/>
      <c r="O694"/>
    </row>
    <row r="695" spans="2:15" x14ac:dyDescent="0.25">
      <c r="B695"/>
      <c r="C695"/>
      <c r="D695"/>
      <c r="E695"/>
      <c r="F695"/>
      <c r="G695"/>
      <c r="H695"/>
      <c r="I695"/>
      <c r="J695"/>
      <c r="K695"/>
      <c r="L695"/>
      <c r="M695"/>
      <c r="N695"/>
      <c r="O695"/>
    </row>
    <row r="696" spans="2:15" x14ac:dyDescent="0.25">
      <c r="B696"/>
      <c r="C696"/>
      <c r="D696"/>
      <c r="E696"/>
      <c r="F696"/>
      <c r="G696"/>
      <c r="H696"/>
      <c r="I696"/>
      <c r="J696"/>
      <c r="K696"/>
      <c r="L696"/>
      <c r="M696"/>
      <c r="N696"/>
      <c r="O696"/>
    </row>
    <row r="697" spans="2:15" x14ac:dyDescent="0.25">
      <c r="B697"/>
      <c r="C697"/>
      <c r="D697"/>
      <c r="E697"/>
      <c r="F697"/>
      <c r="G697"/>
      <c r="H697"/>
      <c r="I697"/>
      <c r="J697"/>
      <c r="K697"/>
      <c r="L697"/>
      <c r="M697"/>
      <c r="N697"/>
      <c r="O697"/>
    </row>
    <row r="698" spans="2:15" x14ac:dyDescent="0.25">
      <c r="B698"/>
      <c r="C698"/>
      <c r="D698"/>
      <c r="E698"/>
      <c r="F698"/>
      <c r="G698"/>
      <c r="H698"/>
      <c r="I698"/>
      <c r="J698"/>
      <c r="K698"/>
      <c r="L698"/>
      <c r="M698"/>
      <c r="N698"/>
      <c r="O698"/>
    </row>
    <row r="699" spans="2:15" x14ac:dyDescent="0.25">
      <c r="B699"/>
      <c r="C699"/>
      <c r="D699"/>
      <c r="E699"/>
      <c r="F699"/>
      <c r="G699"/>
      <c r="H699"/>
      <c r="I699"/>
      <c r="J699"/>
      <c r="K699"/>
      <c r="L699"/>
      <c r="M699"/>
      <c r="N699"/>
      <c r="O699"/>
    </row>
    <row r="700" spans="2:15" x14ac:dyDescent="0.25">
      <c r="B700"/>
      <c r="C700"/>
      <c r="D700"/>
      <c r="E700"/>
      <c r="F700"/>
      <c r="G700"/>
      <c r="H700"/>
      <c r="I700"/>
      <c r="J700"/>
      <c r="K700"/>
      <c r="L700"/>
      <c r="M700"/>
      <c r="N700"/>
      <c r="O700"/>
    </row>
    <row r="701" spans="2:15" x14ac:dyDescent="0.25">
      <c r="B701"/>
      <c r="C701"/>
      <c r="D701"/>
      <c r="E701"/>
      <c r="F701"/>
      <c r="G701"/>
      <c r="H701"/>
      <c r="I701"/>
      <c r="J701"/>
      <c r="K701"/>
      <c r="L701"/>
      <c r="M701"/>
      <c r="N701"/>
      <c r="O701"/>
    </row>
    <row r="702" spans="2:15" x14ac:dyDescent="0.25">
      <c r="B702"/>
      <c r="C702"/>
      <c r="D702"/>
      <c r="E702"/>
      <c r="F702"/>
      <c r="G702"/>
      <c r="H702"/>
      <c r="I702"/>
      <c r="J702"/>
      <c r="K702"/>
      <c r="L702"/>
      <c r="M702"/>
      <c r="N702"/>
      <c r="O702"/>
    </row>
    <row r="703" spans="2:15" x14ac:dyDescent="0.25">
      <c r="B703"/>
      <c r="C703"/>
      <c r="D703"/>
      <c r="E703"/>
      <c r="F703"/>
      <c r="G703"/>
      <c r="H703"/>
      <c r="I703"/>
      <c r="J703"/>
      <c r="K703"/>
      <c r="L703"/>
      <c r="M703"/>
      <c r="N703"/>
      <c r="O703"/>
    </row>
    <row r="704" spans="2:15" x14ac:dyDescent="0.25">
      <c r="B704"/>
      <c r="C704"/>
      <c r="D704"/>
      <c r="E704"/>
      <c r="F704"/>
      <c r="G704"/>
      <c r="H704"/>
      <c r="I704"/>
      <c r="J704"/>
      <c r="K704"/>
      <c r="L704"/>
      <c r="M704"/>
      <c r="N704"/>
      <c r="O704"/>
    </row>
    <row r="705" spans="2:15" x14ac:dyDescent="0.25">
      <c r="B705"/>
      <c r="C705"/>
      <c r="D705"/>
      <c r="E705"/>
      <c r="F705"/>
      <c r="G705"/>
      <c r="H705"/>
      <c r="I705"/>
      <c r="J705"/>
      <c r="K705"/>
      <c r="L705"/>
      <c r="M705"/>
      <c r="N705"/>
      <c r="O705"/>
    </row>
    <row r="706" spans="2:15" x14ac:dyDescent="0.25">
      <c r="B706"/>
      <c r="C706"/>
      <c r="D706"/>
      <c r="E706"/>
      <c r="F706"/>
      <c r="G706"/>
      <c r="H706"/>
      <c r="I706"/>
      <c r="J706"/>
      <c r="K706"/>
      <c r="L706"/>
      <c r="M706"/>
      <c r="N706"/>
      <c r="O706"/>
    </row>
    <row r="707" spans="2:15" x14ac:dyDescent="0.25">
      <c r="B707"/>
      <c r="C707"/>
      <c r="D707"/>
      <c r="E707"/>
      <c r="F707"/>
      <c r="G707"/>
      <c r="H707"/>
      <c r="I707"/>
      <c r="J707"/>
      <c r="K707"/>
      <c r="L707"/>
      <c r="M707"/>
      <c r="N707"/>
      <c r="O707"/>
    </row>
    <row r="708" spans="2:15" x14ac:dyDescent="0.25">
      <c r="B708"/>
      <c r="C708"/>
      <c r="D708"/>
      <c r="E708"/>
      <c r="F708"/>
      <c r="G708"/>
      <c r="H708"/>
      <c r="I708"/>
      <c r="J708"/>
      <c r="K708"/>
      <c r="L708"/>
      <c r="M708"/>
      <c r="N708"/>
      <c r="O708"/>
    </row>
    <row r="709" spans="2:15" x14ac:dyDescent="0.25">
      <c r="B709"/>
      <c r="C709"/>
      <c r="D709"/>
      <c r="E709"/>
      <c r="F709"/>
      <c r="G709"/>
      <c r="H709"/>
      <c r="I709"/>
      <c r="J709"/>
      <c r="K709"/>
      <c r="L709"/>
      <c r="M709"/>
      <c r="N709"/>
      <c r="O709"/>
    </row>
    <row r="710" spans="2:15" x14ac:dyDescent="0.25">
      <c r="B710"/>
      <c r="C710"/>
      <c r="D710"/>
      <c r="E710"/>
      <c r="F710"/>
      <c r="G710"/>
      <c r="H710"/>
      <c r="I710"/>
      <c r="J710"/>
      <c r="K710"/>
      <c r="L710"/>
      <c r="M710"/>
      <c r="N710"/>
      <c r="O710"/>
    </row>
    <row r="711" spans="2:15" x14ac:dyDescent="0.25">
      <c r="B711"/>
      <c r="C711"/>
      <c r="D711"/>
      <c r="E711"/>
      <c r="F711"/>
      <c r="G711"/>
      <c r="H711"/>
      <c r="I711"/>
      <c r="J711"/>
      <c r="K711"/>
      <c r="L711"/>
      <c r="M711"/>
      <c r="N711"/>
      <c r="O711"/>
    </row>
    <row r="712" spans="2:15" x14ac:dyDescent="0.25">
      <c r="B712"/>
      <c r="C712"/>
      <c r="D712"/>
      <c r="E712"/>
      <c r="F712"/>
      <c r="G712"/>
      <c r="H712"/>
      <c r="I712"/>
      <c r="J712"/>
      <c r="K712"/>
      <c r="L712"/>
      <c r="M712"/>
      <c r="N712"/>
      <c r="O712"/>
    </row>
    <row r="713" spans="2:15" x14ac:dyDescent="0.25">
      <c r="B713"/>
      <c r="C713"/>
      <c r="D713"/>
      <c r="E713"/>
      <c r="F713"/>
      <c r="G713"/>
      <c r="H713"/>
      <c r="I713"/>
      <c r="J713"/>
      <c r="K713"/>
      <c r="L713"/>
      <c r="M713"/>
      <c r="N713"/>
      <c r="O713"/>
    </row>
    <row r="714" spans="2:15" x14ac:dyDescent="0.25">
      <c r="B714"/>
      <c r="C714"/>
      <c r="D714"/>
      <c r="E714"/>
      <c r="F714"/>
      <c r="G714"/>
      <c r="H714"/>
      <c r="I714"/>
      <c r="J714"/>
      <c r="K714"/>
      <c r="L714"/>
      <c r="M714"/>
      <c r="N714"/>
      <c r="O714"/>
    </row>
    <row r="715" spans="2:15" x14ac:dyDescent="0.25">
      <c r="B715"/>
      <c r="C715"/>
      <c r="D715"/>
      <c r="E715"/>
      <c r="F715"/>
      <c r="G715"/>
      <c r="H715"/>
      <c r="I715"/>
      <c r="J715"/>
      <c r="K715"/>
      <c r="L715"/>
      <c r="M715"/>
      <c r="N715"/>
      <c r="O715"/>
    </row>
    <row r="716" spans="2:15" x14ac:dyDescent="0.25">
      <c r="B716"/>
      <c r="C716"/>
      <c r="D716"/>
      <c r="E716"/>
      <c r="F716"/>
      <c r="G716"/>
      <c r="H716"/>
      <c r="I716"/>
      <c r="J716"/>
      <c r="K716"/>
      <c r="L716"/>
      <c r="M716"/>
      <c r="N716"/>
      <c r="O716"/>
    </row>
    <row r="717" spans="2:15" x14ac:dyDescent="0.25">
      <c r="B717"/>
      <c r="C717"/>
      <c r="D717"/>
      <c r="E717"/>
      <c r="F717"/>
      <c r="G717"/>
      <c r="H717"/>
      <c r="I717"/>
      <c r="J717"/>
      <c r="K717"/>
      <c r="L717"/>
      <c r="M717"/>
      <c r="N717"/>
      <c r="O717"/>
    </row>
    <row r="718" spans="2:15" x14ac:dyDescent="0.25">
      <c r="B718"/>
      <c r="C718"/>
      <c r="D718"/>
      <c r="E718"/>
      <c r="F718"/>
      <c r="G718"/>
      <c r="H718"/>
      <c r="I718"/>
      <c r="J718"/>
      <c r="K718"/>
      <c r="L718"/>
      <c r="M718"/>
      <c r="N718"/>
      <c r="O718"/>
    </row>
    <row r="719" spans="2:15" x14ac:dyDescent="0.25">
      <c r="B719"/>
      <c r="C719"/>
      <c r="D719"/>
      <c r="E719"/>
      <c r="F719"/>
      <c r="G719"/>
      <c r="H719"/>
      <c r="I719"/>
      <c r="J719"/>
      <c r="K719"/>
      <c r="L719"/>
      <c r="M719"/>
      <c r="N719"/>
      <c r="O719"/>
    </row>
    <row r="720" spans="2:15" x14ac:dyDescent="0.25">
      <c r="B720"/>
      <c r="C720"/>
      <c r="D720"/>
      <c r="E720"/>
      <c r="F720"/>
      <c r="G720"/>
      <c r="H720"/>
      <c r="I720"/>
      <c r="J720"/>
      <c r="K720"/>
      <c r="L720"/>
      <c r="M720"/>
      <c r="N720"/>
      <c r="O720"/>
    </row>
    <row r="721" spans="2:15" x14ac:dyDescent="0.25">
      <c r="B721"/>
      <c r="C721"/>
      <c r="D721"/>
      <c r="E721"/>
      <c r="F721"/>
      <c r="G721"/>
      <c r="H721"/>
      <c r="I721"/>
      <c r="J721"/>
      <c r="K721"/>
      <c r="L721"/>
      <c r="M721"/>
      <c r="N721"/>
      <c r="O721"/>
    </row>
    <row r="722" spans="2:15" x14ac:dyDescent="0.25">
      <c r="B722"/>
      <c r="C722"/>
      <c r="D722"/>
      <c r="E722"/>
      <c r="F722"/>
      <c r="G722"/>
      <c r="H722"/>
      <c r="I722"/>
      <c r="J722"/>
      <c r="K722"/>
      <c r="L722"/>
      <c r="M722"/>
      <c r="N722"/>
      <c r="O722"/>
    </row>
    <row r="723" spans="2:15" x14ac:dyDescent="0.25">
      <c r="B723"/>
      <c r="C723"/>
      <c r="D723"/>
      <c r="E723"/>
      <c r="F723"/>
      <c r="G723"/>
      <c r="H723"/>
      <c r="I723"/>
      <c r="J723"/>
      <c r="K723"/>
      <c r="L723"/>
      <c r="M723"/>
      <c r="N723"/>
      <c r="O723"/>
    </row>
    <row r="724" spans="2:15" x14ac:dyDescent="0.25">
      <c r="B724"/>
      <c r="C724"/>
      <c r="D724"/>
      <c r="E724"/>
      <c r="F724"/>
      <c r="G724"/>
      <c r="H724"/>
      <c r="I724"/>
      <c r="J724"/>
      <c r="K724"/>
      <c r="L724"/>
      <c r="M724"/>
      <c r="N724"/>
      <c r="O724"/>
    </row>
    <row r="725" spans="2:15" x14ac:dyDescent="0.25">
      <c r="B725"/>
      <c r="C725"/>
      <c r="D725"/>
      <c r="E725"/>
      <c r="F725"/>
      <c r="G725"/>
      <c r="H725"/>
      <c r="I725"/>
      <c r="J725"/>
      <c r="K725"/>
      <c r="L725"/>
      <c r="M725"/>
      <c r="N725"/>
      <c r="O725"/>
    </row>
    <row r="726" spans="2:15" x14ac:dyDescent="0.25">
      <c r="B726"/>
      <c r="C726"/>
      <c r="D726"/>
      <c r="E726"/>
      <c r="F726"/>
      <c r="G726"/>
      <c r="H726"/>
      <c r="I726"/>
      <c r="J726"/>
      <c r="K726"/>
      <c r="L726"/>
      <c r="M726"/>
      <c r="N726"/>
      <c r="O726"/>
    </row>
    <row r="727" spans="2:15" x14ac:dyDescent="0.25">
      <c r="B727"/>
      <c r="C727"/>
      <c r="D727"/>
      <c r="E727"/>
      <c r="F727"/>
      <c r="G727"/>
      <c r="H727"/>
      <c r="I727"/>
      <c r="J727"/>
      <c r="K727"/>
      <c r="L727"/>
      <c r="M727"/>
      <c r="N727"/>
      <c r="O727"/>
    </row>
    <row r="728" spans="2:15" x14ac:dyDescent="0.25">
      <c r="B728"/>
      <c r="C728"/>
      <c r="D728"/>
      <c r="E728"/>
      <c r="F728"/>
      <c r="G728"/>
      <c r="H728"/>
      <c r="I728"/>
      <c r="J728"/>
      <c r="K728"/>
      <c r="L728"/>
      <c r="M728"/>
      <c r="N728"/>
      <c r="O728"/>
    </row>
    <row r="729" spans="2:15" x14ac:dyDescent="0.25">
      <c r="B729"/>
      <c r="C729"/>
      <c r="D729"/>
      <c r="E729"/>
      <c r="F729"/>
      <c r="G729"/>
      <c r="H729"/>
      <c r="I729"/>
      <c r="J729"/>
      <c r="K729"/>
      <c r="L729"/>
      <c r="M729"/>
      <c r="N729"/>
      <c r="O729"/>
    </row>
    <row r="730" spans="2:15" x14ac:dyDescent="0.25">
      <c r="B730"/>
      <c r="C730"/>
      <c r="D730"/>
      <c r="E730"/>
      <c r="F730"/>
      <c r="G730"/>
      <c r="H730"/>
      <c r="I730"/>
      <c r="J730"/>
      <c r="K730"/>
      <c r="L730"/>
      <c r="M730"/>
      <c r="N730"/>
      <c r="O730"/>
    </row>
    <row r="731" spans="2:15" x14ac:dyDescent="0.25">
      <c r="B731"/>
      <c r="C731"/>
      <c r="D731"/>
      <c r="E731"/>
      <c r="F731"/>
      <c r="G731"/>
      <c r="H731"/>
      <c r="I731"/>
      <c r="J731"/>
      <c r="K731"/>
      <c r="L731"/>
      <c r="M731"/>
      <c r="N731"/>
      <c r="O731"/>
    </row>
    <row r="732" spans="2:15" x14ac:dyDescent="0.25">
      <c r="B732"/>
      <c r="C732"/>
      <c r="D732"/>
      <c r="E732"/>
      <c r="F732"/>
      <c r="G732"/>
      <c r="H732"/>
      <c r="I732"/>
      <c r="J732"/>
      <c r="K732"/>
      <c r="L732"/>
      <c r="M732"/>
      <c r="N732"/>
      <c r="O732"/>
    </row>
    <row r="733" spans="2:15" x14ac:dyDescent="0.25">
      <c r="B733"/>
      <c r="C733"/>
      <c r="D733"/>
      <c r="E733"/>
      <c r="F733"/>
      <c r="G733"/>
      <c r="H733"/>
      <c r="I733"/>
      <c r="J733"/>
      <c r="K733"/>
      <c r="L733"/>
      <c r="M733"/>
      <c r="N733"/>
      <c r="O733"/>
    </row>
    <row r="734" spans="2:15" x14ac:dyDescent="0.25">
      <c r="B734"/>
      <c r="C734"/>
      <c r="D734"/>
      <c r="E734"/>
      <c r="F734"/>
      <c r="G734"/>
      <c r="H734"/>
      <c r="I734"/>
      <c r="J734"/>
      <c r="K734"/>
      <c r="L734"/>
      <c r="M734"/>
      <c r="N734"/>
      <c r="O734"/>
    </row>
    <row r="735" spans="2:15" x14ac:dyDescent="0.25">
      <c r="B735"/>
      <c r="C735"/>
      <c r="D735"/>
      <c r="E735"/>
      <c r="F735"/>
      <c r="G735"/>
      <c r="H735"/>
      <c r="I735"/>
      <c r="J735"/>
      <c r="K735"/>
      <c r="L735"/>
      <c r="M735"/>
      <c r="N735"/>
      <c r="O735"/>
    </row>
    <row r="736" spans="2:15" x14ac:dyDescent="0.25">
      <c r="B736"/>
      <c r="C736"/>
      <c r="D736"/>
      <c r="E736"/>
      <c r="F736"/>
      <c r="G736"/>
      <c r="H736"/>
      <c r="I736"/>
      <c r="J736"/>
      <c r="K736"/>
      <c r="L736"/>
      <c r="M736"/>
      <c r="N736"/>
      <c r="O736"/>
    </row>
    <row r="737" spans="2:15" x14ac:dyDescent="0.25">
      <c r="B737"/>
      <c r="C737"/>
      <c r="D737"/>
      <c r="E737"/>
      <c r="F737"/>
      <c r="G737"/>
      <c r="H737"/>
      <c r="I737"/>
      <c r="J737"/>
      <c r="K737"/>
      <c r="L737"/>
      <c r="M737"/>
      <c r="N737"/>
      <c r="O737"/>
    </row>
    <row r="738" spans="2:15" x14ac:dyDescent="0.25">
      <c r="B738"/>
      <c r="C738"/>
      <c r="D738"/>
      <c r="E738"/>
      <c r="F738"/>
      <c r="G738"/>
      <c r="H738"/>
      <c r="I738"/>
      <c r="J738"/>
      <c r="K738"/>
      <c r="L738"/>
      <c r="M738"/>
      <c r="N738"/>
      <c r="O738"/>
    </row>
    <row r="739" spans="2:15" x14ac:dyDescent="0.25">
      <c r="B739"/>
      <c r="C739"/>
      <c r="D739"/>
      <c r="E739"/>
      <c r="F739"/>
      <c r="G739"/>
      <c r="H739"/>
      <c r="I739"/>
      <c r="J739"/>
      <c r="K739"/>
      <c r="L739"/>
      <c r="M739"/>
      <c r="N739"/>
      <c r="O739"/>
    </row>
    <row r="740" spans="2:15" x14ac:dyDescent="0.25">
      <c r="B740"/>
      <c r="C740"/>
      <c r="D740"/>
      <c r="E740"/>
      <c r="F740"/>
      <c r="G740"/>
      <c r="H740"/>
      <c r="I740"/>
      <c r="J740"/>
      <c r="K740"/>
      <c r="L740"/>
      <c r="M740"/>
      <c r="N740"/>
      <c r="O740"/>
    </row>
    <row r="741" spans="2:15" x14ac:dyDescent="0.25">
      <c r="B741"/>
      <c r="C741"/>
      <c r="D741"/>
      <c r="E741"/>
      <c r="F741"/>
      <c r="G741"/>
      <c r="H741"/>
      <c r="I741"/>
      <c r="J741"/>
      <c r="K741"/>
      <c r="L741"/>
      <c r="M741"/>
      <c r="N741"/>
      <c r="O741"/>
    </row>
    <row r="742" spans="2:15" x14ac:dyDescent="0.25">
      <c r="B742"/>
      <c r="C742"/>
      <c r="D742"/>
      <c r="E742"/>
      <c r="F742"/>
      <c r="G742"/>
      <c r="H742"/>
      <c r="I742"/>
      <c r="J742"/>
      <c r="K742"/>
      <c r="L742"/>
      <c r="M742"/>
      <c r="N742"/>
      <c r="O742"/>
    </row>
    <row r="743" spans="2:15" x14ac:dyDescent="0.25">
      <c r="B743"/>
      <c r="C743"/>
      <c r="D743"/>
      <c r="E743"/>
      <c r="F743"/>
      <c r="G743"/>
      <c r="H743"/>
      <c r="I743"/>
      <c r="J743"/>
      <c r="K743"/>
      <c r="L743"/>
      <c r="M743"/>
      <c r="N743"/>
      <c r="O743"/>
    </row>
    <row r="744" spans="2:15" x14ac:dyDescent="0.25">
      <c r="B744"/>
      <c r="C744"/>
      <c r="D744"/>
      <c r="E744"/>
      <c r="F744"/>
      <c r="G744"/>
      <c r="H744"/>
      <c r="I744"/>
      <c r="J744"/>
      <c r="K744"/>
      <c r="L744"/>
      <c r="M744"/>
      <c r="N744"/>
      <c r="O744"/>
    </row>
    <row r="745" spans="2:15" x14ac:dyDescent="0.25">
      <c r="B745"/>
      <c r="C745"/>
      <c r="D745"/>
      <c r="E745"/>
      <c r="F745"/>
      <c r="G745"/>
      <c r="H745"/>
      <c r="I745"/>
      <c r="J745"/>
      <c r="K745"/>
      <c r="L745"/>
      <c r="M745"/>
      <c r="N745"/>
      <c r="O745"/>
    </row>
    <row r="746" spans="2:15" x14ac:dyDescent="0.25">
      <c r="B746"/>
      <c r="C746"/>
      <c r="D746"/>
      <c r="E746"/>
      <c r="F746"/>
      <c r="G746"/>
      <c r="H746"/>
      <c r="I746"/>
      <c r="J746"/>
      <c r="K746"/>
      <c r="L746"/>
      <c r="M746"/>
      <c r="N746"/>
      <c r="O746"/>
    </row>
    <row r="747" spans="2:15" x14ac:dyDescent="0.25">
      <c r="B747"/>
      <c r="C747"/>
      <c r="D747"/>
      <c r="E747"/>
      <c r="F747"/>
      <c r="G747"/>
      <c r="H747"/>
      <c r="I747"/>
      <c r="J747"/>
      <c r="K747"/>
      <c r="L747"/>
      <c r="M747"/>
      <c r="N747"/>
      <c r="O747"/>
    </row>
    <row r="748" spans="2:15" x14ac:dyDescent="0.25">
      <c r="B748"/>
      <c r="C748"/>
      <c r="D748"/>
      <c r="E748"/>
      <c r="F748"/>
      <c r="G748"/>
      <c r="H748"/>
      <c r="I748"/>
      <c r="J748"/>
      <c r="K748"/>
      <c r="L748"/>
      <c r="M748"/>
      <c r="N748"/>
      <c r="O748"/>
    </row>
    <row r="749" spans="2:15" x14ac:dyDescent="0.25">
      <c r="B749"/>
      <c r="C749"/>
      <c r="D749"/>
      <c r="E749"/>
      <c r="F749"/>
      <c r="G749"/>
      <c r="H749"/>
      <c r="I749"/>
      <c r="J749"/>
      <c r="K749"/>
      <c r="L749"/>
      <c r="M749"/>
      <c r="N749"/>
      <c r="O749"/>
    </row>
    <row r="750" spans="2:15" x14ac:dyDescent="0.25">
      <c r="B750"/>
      <c r="C750"/>
      <c r="D750"/>
      <c r="E750"/>
      <c r="F750"/>
      <c r="G750"/>
      <c r="H750"/>
      <c r="I750"/>
      <c r="J750"/>
      <c r="K750"/>
      <c r="L750"/>
      <c r="M750"/>
      <c r="N750"/>
      <c r="O750"/>
    </row>
    <row r="751" spans="2:15" x14ac:dyDescent="0.25">
      <c r="B751"/>
      <c r="C751"/>
      <c r="D751"/>
      <c r="E751"/>
      <c r="F751"/>
      <c r="G751"/>
      <c r="H751"/>
      <c r="I751"/>
      <c r="J751"/>
      <c r="K751"/>
      <c r="L751"/>
      <c r="M751"/>
      <c r="N751"/>
      <c r="O751"/>
    </row>
    <row r="752" spans="2:15" x14ac:dyDescent="0.25">
      <c r="B752"/>
      <c r="C752"/>
      <c r="D752"/>
      <c r="E752"/>
      <c r="F752"/>
      <c r="G752"/>
      <c r="H752"/>
      <c r="I752"/>
      <c r="J752"/>
      <c r="K752"/>
      <c r="L752"/>
      <c r="M752"/>
      <c r="N752"/>
      <c r="O752"/>
    </row>
    <row r="753" spans="2:15" x14ac:dyDescent="0.25">
      <c r="B753"/>
      <c r="C753"/>
      <c r="D753"/>
      <c r="E753"/>
      <c r="F753"/>
      <c r="G753"/>
      <c r="H753"/>
      <c r="I753"/>
      <c r="J753"/>
      <c r="K753"/>
      <c r="L753"/>
      <c r="M753"/>
      <c r="N753"/>
      <c r="O753"/>
    </row>
    <row r="754" spans="2:15" x14ac:dyDescent="0.25">
      <c r="B754"/>
      <c r="C754"/>
      <c r="D754"/>
      <c r="E754"/>
      <c r="F754"/>
      <c r="G754"/>
      <c r="H754"/>
      <c r="I754"/>
      <c r="J754"/>
      <c r="K754"/>
      <c r="L754"/>
      <c r="M754"/>
      <c r="N754"/>
      <c r="O754"/>
    </row>
    <row r="755" spans="2:15" x14ac:dyDescent="0.25">
      <c r="B755"/>
      <c r="C755"/>
      <c r="D755"/>
      <c r="E755"/>
      <c r="F755"/>
      <c r="G755"/>
      <c r="H755"/>
      <c r="I755"/>
      <c r="J755"/>
      <c r="K755"/>
      <c r="L755"/>
      <c r="M755"/>
      <c r="N755"/>
      <c r="O755"/>
    </row>
    <row r="756" spans="2:15" x14ac:dyDescent="0.25">
      <c r="B756"/>
      <c r="C756"/>
      <c r="D756"/>
      <c r="E756"/>
      <c r="F756"/>
      <c r="G756"/>
      <c r="H756"/>
      <c r="I756"/>
      <c r="J756"/>
      <c r="K756"/>
      <c r="L756"/>
      <c r="M756"/>
      <c r="N756"/>
      <c r="O756"/>
    </row>
    <row r="757" spans="2:15" x14ac:dyDescent="0.25">
      <c r="B757"/>
      <c r="C757"/>
      <c r="D757"/>
      <c r="E757"/>
      <c r="F757"/>
      <c r="G757"/>
      <c r="H757"/>
      <c r="I757"/>
      <c r="J757"/>
      <c r="K757"/>
      <c r="L757"/>
      <c r="M757"/>
      <c r="N757"/>
      <c r="O757"/>
    </row>
    <row r="758" spans="2:15" x14ac:dyDescent="0.25">
      <c r="B758"/>
      <c r="C758"/>
      <c r="D758"/>
      <c r="E758"/>
      <c r="F758"/>
      <c r="G758"/>
      <c r="H758"/>
      <c r="I758"/>
      <c r="J758"/>
      <c r="K758"/>
      <c r="L758"/>
      <c r="M758"/>
      <c r="N758"/>
      <c r="O758"/>
    </row>
    <row r="759" spans="2:15" x14ac:dyDescent="0.25">
      <c r="B759"/>
      <c r="C759"/>
      <c r="D759"/>
      <c r="E759"/>
      <c r="F759"/>
      <c r="G759"/>
      <c r="H759"/>
      <c r="I759"/>
      <c r="J759"/>
      <c r="K759"/>
      <c r="L759"/>
      <c r="M759"/>
      <c r="N759"/>
      <c r="O759"/>
    </row>
    <row r="760" spans="2:15" x14ac:dyDescent="0.25">
      <c r="B760"/>
      <c r="C760"/>
      <c r="D760"/>
      <c r="E760"/>
      <c r="F760"/>
      <c r="G760"/>
      <c r="H760"/>
      <c r="I760"/>
      <c r="J760"/>
      <c r="K760"/>
      <c r="L760"/>
      <c r="M760"/>
      <c r="N760"/>
      <c r="O760"/>
    </row>
    <row r="761" spans="2:15" x14ac:dyDescent="0.25">
      <c r="B761"/>
      <c r="C761"/>
      <c r="D761"/>
      <c r="E761"/>
      <c r="F761"/>
      <c r="G761"/>
      <c r="H761"/>
      <c r="I761"/>
      <c r="J761"/>
      <c r="K761"/>
      <c r="L761"/>
      <c r="M761"/>
      <c r="N761"/>
      <c r="O761"/>
    </row>
    <row r="762" spans="2:15" x14ac:dyDescent="0.25">
      <c r="B762"/>
      <c r="C762"/>
      <c r="D762"/>
      <c r="E762"/>
      <c r="F762"/>
      <c r="G762"/>
      <c r="H762"/>
      <c r="I762"/>
      <c r="J762"/>
      <c r="K762"/>
      <c r="L762"/>
      <c r="M762"/>
      <c r="N762"/>
      <c r="O762"/>
    </row>
    <row r="763" spans="2:15" x14ac:dyDescent="0.25">
      <c r="B763"/>
      <c r="C763"/>
      <c r="D763"/>
      <c r="E763"/>
      <c r="F763"/>
      <c r="G763"/>
      <c r="H763"/>
      <c r="I763"/>
      <c r="J763"/>
      <c r="K763"/>
      <c r="L763"/>
      <c r="M763"/>
      <c r="N763"/>
      <c r="O763"/>
    </row>
    <row r="764" spans="2:15" x14ac:dyDescent="0.25">
      <c r="B764"/>
      <c r="C764"/>
      <c r="D764"/>
      <c r="E764"/>
      <c r="F764"/>
      <c r="G764"/>
      <c r="H764"/>
      <c r="I764"/>
      <c r="J764"/>
      <c r="K764"/>
      <c r="L764"/>
      <c r="M764"/>
      <c r="N764"/>
      <c r="O764"/>
    </row>
    <row r="765" spans="2:15" x14ac:dyDescent="0.25">
      <c r="B765"/>
      <c r="C765"/>
      <c r="D765"/>
      <c r="E765"/>
      <c r="F765"/>
      <c r="G765"/>
      <c r="H765"/>
      <c r="I765"/>
      <c r="J765"/>
      <c r="K765"/>
      <c r="L765"/>
      <c r="M765"/>
      <c r="N765"/>
      <c r="O765"/>
    </row>
    <row r="766" spans="2:15" x14ac:dyDescent="0.25">
      <c r="B766"/>
      <c r="C766"/>
      <c r="D766"/>
      <c r="E766"/>
      <c r="F766"/>
      <c r="G766"/>
      <c r="H766"/>
      <c r="I766"/>
      <c r="J766"/>
      <c r="K766"/>
      <c r="L766"/>
      <c r="M766"/>
      <c r="N766"/>
      <c r="O766"/>
    </row>
    <row r="767" spans="2:15" x14ac:dyDescent="0.25">
      <c r="B767"/>
      <c r="C767"/>
      <c r="D767"/>
      <c r="E767"/>
      <c r="F767"/>
      <c r="G767"/>
      <c r="H767"/>
      <c r="I767"/>
      <c r="J767"/>
      <c r="K767"/>
      <c r="L767"/>
      <c r="M767"/>
      <c r="N767"/>
      <c r="O767"/>
    </row>
    <row r="768" spans="2:15" x14ac:dyDescent="0.25">
      <c r="B768"/>
      <c r="C768"/>
      <c r="D768"/>
      <c r="E768"/>
      <c r="F768"/>
      <c r="G768"/>
      <c r="H768"/>
      <c r="I768"/>
      <c r="J768"/>
      <c r="K768"/>
      <c r="L768"/>
      <c r="M768"/>
      <c r="N768"/>
      <c r="O768"/>
    </row>
    <row r="769" spans="2:15" x14ac:dyDescent="0.25">
      <c r="B769"/>
      <c r="C769"/>
      <c r="D769"/>
      <c r="E769"/>
      <c r="F769"/>
      <c r="G769"/>
      <c r="H769"/>
      <c r="I769"/>
      <c r="J769"/>
      <c r="K769"/>
      <c r="L769"/>
      <c r="M769"/>
      <c r="N769"/>
      <c r="O769"/>
    </row>
    <row r="770" spans="2:15" x14ac:dyDescent="0.25">
      <c r="B770"/>
      <c r="C770"/>
      <c r="D770"/>
      <c r="E770"/>
      <c r="F770"/>
      <c r="G770"/>
      <c r="H770"/>
      <c r="I770"/>
      <c r="J770"/>
      <c r="K770"/>
      <c r="L770"/>
      <c r="M770"/>
      <c r="N770"/>
      <c r="O770"/>
    </row>
    <row r="771" spans="2:15" x14ac:dyDescent="0.25">
      <c r="B771"/>
      <c r="C771"/>
      <c r="D771"/>
      <c r="E771"/>
      <c r="F771"/>
      <c r="G771"/>
      <c r="H771"/>
      <c r="I771"/>
      <c r="J771"/>
      <c r="K771"/>
      <c r="L771"/>
      <c r="M771"/>
      <c r="N771"/>
      <c r="O771"/>
    </row>
    <row r="772" spans="2:15" x14ac:dyDescent="0.25">
      <c r="B772"/>
      <c r="C772"/>
      <c r="D772"/>
      <c r="E772"/>
      <c r="F772"/>
      <c r="G772"/>
      <c r="H772"/>
      <c r="I772"/>
      <c r="J772"/>
      <c r="K772"/>
      <c r="L772"/>
      <c r="M772"/>
      <c r="N772"/>
      <c r="O772"/>
    </row>
    <row r="773" spans="2:15" x14ac:dyDescent="0.25">
      <c r="B773"/>
      <c r="C773"/>
      <c r="D773"/>
      <c r="E773"/>
      <c r="F773"/>
      <c r="G773"/>
      <c r="H773"/>
      <c r="I773"/>
      <c r="J773"/>
      <c r="K773"/>
      <c r="L773"/>
      <c r="M773"/>
      <c r="N773"/>
      <c r="O773"/>
    </row>
    <row r="774" spans="2:15" x14ac:dyDescent="0.25">
      <c r="B774"/>
      <c r="C774"/>
      <c r="D774"/>
      <c r="E774"/>
      <c r="F774"/>
      <c r="G774"/>
      <c r="H774"/>
      <c r="I774"/>
      <c r="J774"/>
      <c r="K774"/>
      <c r="L774"/>
      <c r="M774"/>
      <c r="N774"/>
      <c r="O774"/>
    </row>
    <row r="775" spans="2:15" x14ac:dyDescent="0.25">
      <c r="B775"/>
      <c r="C775"/>
      <c r="D775"/>
      <c r="E775"/>
      <c r="F775"/>
      <c r="G775"/>
      <c r="H775"/>
      <c r="I775"/>
      <c r="J775"/>
      <c r="K775"/>
      <c r="L775"/>
      <c r="M775"/>
      <c r="N775"/>
      <c r="O775"/>
    </row>
    <row r="776" spans="2:15" x14ac:dyDescent="0.25">
      <c r="B776"/>
      <c r="C776"/>
      <c r="D776"/>
      <c r="E776"/>
      <c r="F776"/>
      <c r="G776"/>
      <c r="H776"/>
      <c r="I776"/>
      <c r="J776"/>
      <c r="K776"/>
      <c r="L776"/>
      <c r="M776"/>
      <c r="N776"/>
      <c r="O776"/>
    </row>
    <row r="777" spans="2:15" x14ac:dyDescent="0.25">
      <c r="B777"/>
      <c r="C777"/>
      <c r="D777"/>
      <c r="E777"/>
      <c r="F777"/>
      <c r="G777"/>
      <c r="H777"/>
      <c r="I777"/>
      <c r="J777"/>
      <c r="K777"/>
      <c r="L777"/>
      <c r="M777"/>
      <c r="N777"/>
      <c r="O777"/>
    </row>
    <row r="778" spans="2:15" x14ac:dyDescent="0.25">
      <c r="B778"/>
      <c r="C778"/>
      <c r="D778"/>
      <c r="E778"/>
      <c r="F778"/>
      <c r="G778"/>
      <c r="H778"/>
      <c r="I778"/>
      <c r="J778"/>
      <c r="K778"/>
      <c r="L778"/>
      <c r="M778"/>
      <c r="N778"/>
      <c r="O778"/>
    </row>
    <row r="779" spans="2:15" x14ac:dyDescent="0.25">
      <c r="B779"/>
      <c r="C779"/>
      <c r="D779"/>
      <c r="E779"/>
      <c r="F779"/>
      <c r="G779"/>
      <c r="H779"/>
      <c r="I779"/>
      <c r="J779"/>
      <c r="K779"/>
      <c r="L779"/>
      <c r="M779"/>
      <c r="N779"/>
      <c r="O779"/>
    </row>
    <row r="780" spans="2:15" x14ac:dyDescent="0.25">
      <c r="B780"/>
      <c r="C780"/>
      <c r="D780"/>
      <c r="E780"/>
      <c r="F780"/>
      <c r="G780"/>
      <c r="H780"/>
      <c r="I780"/>
      <c r="J780"/>
      <c r="K780"/>
      <c r="L780"/>
      <c r="M780"/>
      <c r="N780"/>
      <c r="O780"/>
    </row>
    <row r="781" spans="2:15" x14ac:dyDescent="0.25">
      <c r="B781"/>
      <c r="C781"/>
      <c r="D781"/>
      <c r="E781"/>
      <c r="F781"/>
      <c r="G781"/>
      <c r="H781"/>
      <c r="I781"/>
      <c r="J781"/>
      <c r="K781"/>
      <c r="L781"/>
      <c r="M781"/>
      <c r="N781"/>
      <c r="O781"/>
    </row>
    <row r="782" spans="2:15" x14ac:dyDescent="0.25">
      <c r="B782"/>
      <c r="C782"/>
      <c r="D782"/>
      <c r="E782"/>
      <c r="F782"/>
      <c r="G782"/>
      <c r="H782"/>
      <c r="I782"/>
      <c r="J782"/>
      <c r="K782"/>
      <c r="L782"/>
      <c r="M782"/>
      <c r="N782"/>
      <c r="O782"/>
    </row>
    <row r="783" spans="2:15" x14ac:dyDescent="0.25">
      <c r="B783"/>
      <c r="C783"/>
      <c r="D783"/>
      <c r="E783"/>
      <c r="F783"/>
      <c r="G783"/>
      <c r="H783"/>
      <c r="I783"/>
      <c r="J783"/>
      <c r="K783"/>
      <c r="L783"/>
      <c r="M783"/>
      <c r="N783"/>
      <c r="O783"/>
    </row>
    <row r="784" spans="2:15" x14ac:dyDescent="0.25">
      <c r="B784"/>
      <c r="C784"/>
      <c r="D784"/>
      <c r="E784"/>
      <c r="F784"/>
      <c r="G784"/>
      <c r="H784"/>
      <c r="I784"/>
      <c r="J784"/>
      <c r="K784"/>
      <c r="L784"/>
      <c r="M784"/>
      <c r="N784"/>
      <c r="O784"/>
    </row>
    <row r="785" spans="2:15" x14ac:dyDescent="0.25">
      <c r="B785"/>
      <c r="C785"/>
      <c r="D785"/>
      <c r="E785"/>
      <c r="F785"/>
      <c r="G785"/>
      <c r="H785"/>
      <c r="I785"/>
      <c r="J785"/>
      <c r="K785"/>
      <c r="L785"/>
      <c r="M785"/>
      <c r="N785"/>
      <c r="O785"/>
    </row>
    <row r="786" spans="2:15" x14ac:dyDescent="0.25">
      <c r="B786"/>
      <c r="C786"/>
      <c r="D786"/>
      <c r="E786"/>
      <c r="F786"/>
      <c r="G786"/>
      <c r="H786"/>
      <c r="I786"/>
      <c r="J786"/>
      <c r="K786"/>
      <c r="L786"/>
      <c r="M786"/>
      <c r="N786"/>
      <c r="O786"/>
    </row>
    <row r="787" spans="2:15" x14ac:dyDescent="0.25">
      <c r="B787"/>
      <c r="C787"/>
      <c r="D787"/>
      <c r="E787"/>
      <c r="F787"/>
      <c r="G787"/>
      <c r="H787"/>
      <c r="I787"/>
      <c r="J787"/>
      <c r="K787"/>
      <c r="L787"/>
      <c r="M787"/>
      <c r="N787"/>
      <c r="O787"/>
    </row>
    <row r="788" spans="2:15" x14ac:dyDescent="0.25">
      <c r="B788"/>
      <c r="C788"/>
      <c r="D788"/>
      <c r="E788"/>
      <c r="F788"/>
      <c r="G788"/>
      <c r="H788"/>
      <c r="I788"/>
      <c r="J788"/>
      <c r="K788"/>
      <c r="L788"/>
      <c r="M788"/>
      <c r="N788"/>
      <c r="O788"/>
    </row>
    <row r="789" spans="2:15" x14ac:dyDescent="0.25">
      <c r="B789"/>
      <c r="C789"/>
      <c r="D789"/>
      <c r="E789"/>
      <c r="F789"/>
      <c r="G789"/>
      <c r="H789"/>
      <c r="I789"/>
      <c r="J789"/>
      <c r="K789"/>
      <c r="L789"/>
      <c r="M789"/>
      <c r="N789"/>
      <c r="O789"/>
    </row>
    <row r="790" spans="2:15" x14ac:dyDescent="0.25">
      <c r="B790"/>
      <c r="C790"/>
      <c r="D790"/>
      <c r="E790"/>
      <c r="F790"/>
      <c r="G790"/>
      <c r="H790"/>
      <c r="I790"/>
      <c r="J790"/>
      <c r="K790"/>
      <c r="L790"/>
      <c r="M790"/>
      <c r="N790"/>
      <c r="O790"/>
    </row>
    <row r="791" spans="2:15" x14ac:dyDescent="0.25">
      <c r="B791"/>
      <c r="C791"/>
      <c r="D791"/>
      <c r="E791"/>
      <c r="F791"/>
      <c r="G791"/>
      <c r="H791"/>
      <c r="I791"/>
      <c r="J791"/>
      <c r="K791"/>
      <c r="L791"/>
      <c r="M791"/>
      <c r="N791"/>
      <c r="O791"/>
    </row>
    <row r="792" spans="2:15" x14ac:dyDescent="0.25">
      <c r="B792"/>
      <c r="C792"/>
      <c r="D792"/>
      <c r="E792"/>
      <c r="F792"/>
      <c r="G792"/>
      <c r="H792"/>
      <c r="I792"/>
      <c r="J792"/>
      <c r="K792"/>
      <c r="L792"/>
      <c r="M792"/>
      <c r="N792"/>
      <c r="O792"/>
    </row>
    <row r="793" spans="2:15" x14ac:dyDescent="0.25">
      <c r="B793"/>
      <c r="C793"/>
      <c r="D793"/>
      <c r="E793"/>
      <c r="F793"/>
      <c r="G793"/>
      <c r="H793"/>
      <c r="I793"/>
      <c r="J793"/>
      <c r="K793"/>
      <c r="L793"/>
      <c r="M793"/>
      <c r="N793"/>
      <c r="O793"/>
    </row>
    <row r="794" spans="2:15" x14ac:dyDescent="0.25">
      <c r="B794"/>
      <c r="C794"/>
      <c r="D794"/>
      <c r="E794"/>
      <c r="F794"/>
      <c r="G794"/>
      <c r="H794"/>
      <c r="I794"/>
      <c r="J794"/>
      <c r="K794"/>
      <c r="L794"/>
      <c r="M794"/>
      <c r="N794"/>
      <c r="O794"/>
    </row>
    <row r="795" spans="2:15" x14ac:dyDescent="0.25">
      <c r="B795"/>
      <c r="C795"/>
      <c r="D795"/>
      <c r="E795"/>
      <c r="F795"/>
      <c r="G795"/>
      <c r="H795"/>
      <c r="I795"/>
      <c r="J795"/>
      <c r="K795"/>
      <c r="L795"/>
      <c r="M795"/>
      <c r="N795"/>
      <c r="O795"/>
    </row>
    <row r="796" spans="2:15" x14ac:dyDescent="0.25">
      <c r="B796"/>
      <c r="C796"/>
      <c r="D796"/>
      <c r="E796"/>
      <c r="F796"/>
      <c r="G796"/>
      <c r="H796"/>
      <c r="I796"/>
      <c r="J796"/>
      <c r="K796"/>
      <c r="L796"/>
      <c r="M796"/>
      <c r="N796"/>
      <c r="O796"/>
    </row>
    <row r="797" spans="2:15" x14ac:dyDescent="0.25">
      <c r="B797"/>
      <c r="C797"/>
      <c r="D797"/>
      <c r="E797"/>
      <c r="F797"/>
      <c r="G797"/>
      <c r="H797"/>
      <c r="I797"/>
      <c r="J797"/>
      <c r="K797"/>
      <c r="L797"/>
      <c r="M797"/>
      <c r="N797"/>
      <c r="O797"/>
    </row>
    <row r="798" spans="2:15" x14ac:dyDescent="0.25">
      <c r="B798"/>
      <c r="C798"/>
      <c r="D798"/>
      <c r="E798"/>
      <c r="F798"/>
      <c r="G798"/>
      <c r="H798"/>
      <c r="I798"/>
      <c r="J798"/>
      <c r="K798"/>
      <c r="L798"/>
      <c r="M798"/>
      <c r="N798"/>
      <c r="O798"/>
    </row>
    <row r="799" spans="2:15" x14ac:dyDescent="0.25">
      <c r="B799"/>
      <c r="C799"/>
      <c r="D799"/>
      <c r="E799"/>
      <c r="F799"/>
      <c r="G799"/>
      <c r="H799"/>
      <c r="I799"/>
      <c r="J799"/>
      <c r="K799"/>
      <c r="L799"/>
      <c r="M799"/>
      <c r="N799"/>
      <c r="O799"/>
    </row>
    <row r="800" spans="2:15" x14ac:dyDescent="0.25">
      <c r="B800"/>
      <c r="C800"/>
      <c r="D800"/>
      <c r="E800"/>
      <c r="F800"/>
      <c r="G800"/>
      <c r="H800"/>
      <c r="I800"/>
      <c r="J800"/>
      <c r="K800"/>
      <c r="L800"/>
      <c r="M800"/>
      <c r="N800"/>
      <c r="O800"/>
    </row>
    <row r="801" spans="2:15" x14ac:dyDescent="0.25">
      <c r="B801"/>
      <c r="C801"/>
      <c r="D801"/>
      <c r="E801"/>
      <c r="F801"/>
      <c r="G801"/>
      <c r="H801"/>
      <c r="I801"/>
      <c r="J801"/>
      <c r="K801"/>
      <c r="L801"/>
      <c r="M801"/>
      <c r="N801"/>
      <c r="O801"/>
    </row>
    <row r="802" spans="2:15" x14ac:dyDescent="0.25">
      <c r="B802"/>
      <c r="C802"/>
      <c r="D802"/>
      <c r="E802"/>
      <c r="F802"/>
      <c r="G802"/>
      <c r="H802"/>
      <c r="I802"/>
      <c r="J802"/>
      <c r="K802"/>
      <c r="L802"/>
      <c r="M802"/>
      <c r="N802"/>
      <c r="O802"/>
    </row>
    <row r="803" spans="2:15" x14ac:dyDescent="0.25">
      <c r="B803"/>
      <c r="C803"/>
      <c r="D803"/>
      <c r="E803"/>
      <c r="F803"/>
      <c r="G803"/>
      <c r="H803"/>
      <c r="I803"/>
      <c r="J803"/>
      <c r="K803"/>
      <c r="L803"/>
      <c r="M803"/>
      <c r="N803"/>
      <c r="O803"/>
    </row>
    <row r="804" spans="2:15" x14ac:dyDescent="0.25">
      <c r="B804"/>
      <c r="C804"/>
      <c r="D804"/>
      <c r="E804"/>
      <c r="F804"/>
      <c r="G804"/>
      <c r="H804"/>
      <c r="I804"/>
      <c r="J804"/>
      <c r="K804"/>
      <c r="L804"/>
      <c r="M804"/>
      <c r="N804"/>
      <c r="O804"/>
    </row>
    <row r="805" spans="2:15" x14ac:dyDescent="0.25">
      <c r="B805"/>
      <c r="C805"/>
      <c r="D805"/>
      <c r="E805"/>
      <c r="F805"/>
      <c r="G805"/>
      <c r="H805"/>
      <c r="I805"/>
      <c r="J805"/>
      <c r="K805"/>
      <c r="L805"/>
      <c r="M805"/>
      <c r="N805"/>
      <c r="O805"/>
    </row>
    <row r="806" spans="2:15" x14ac:dyDescent="0.25">
      <c r="B806"/>
      <c r="C806"/>
      <c r="D806"/>
      <c r="E806"/>
      <c r="F806"/>
      <c r="G806"/>
      <c r="H806"/>
      <c r="I806"/>
      <c r="J806"/>
      <c r="K806"/>
      <c r="L806"/>
      <c r="M806"/>
      <c r="N806"/>
      <c r="O806"/>
    </row>
    <row r="807" spans="2:15" x14ac:dyDescent="0.25">
      <c r="B807"/>
      <c r="C807"/>
      <c r="D807"/>
      <c r="E807"/>
      <c r="F807"/>
      <c r="G807"/>
      <c r="H807"/>
      <c r="I807"/>
      <c r="J807"/>
      <c r="K807"/>
      <c r="L807"/>
      <c r="M807"/>
      <c r="N807"/>
      <c r="O807"/>
    </row>
    <row r="808" spans="2:15" x14ac:dyDescent="0.25">
      <c r="B808"/>
      <c r="C808"/>
      <c r="D808"/>
      <c r="E808"/>
      <c r="F808"/>
      <c r="G808"/>
      <c r="H808"/>
      <c r="I808"/>
      <c r="J808"/>
      <c r="K808"/>
      <c r="L808"/>
      <c r="M808"/>
      <c r="N808"/>
      <c r="O808"/>
    </row>
    <row r="809" spans="2:15" x14ac:dyDescent="0.25">
      <c r="B809"/>
      <c r="C809"/>
      <c r="D809"/>
      <c r="E809"/>
      <c r="F809"/>
      <c r="G809"/>
      <c r="H809"/>
      <c r="I809"/>
      <c r="J809"/>
      <c r="K809"/>
      <c r="L809"/>
      <c r="M809"/>
      <c r="N809"/>
      <c r="O809"/>
    </row>
    <row r="810" spans="2:15" x14ac:dyDescent="0.25">
      <c r="B810"/>
      <c r="C810"/>
      <c r="D810"/>
      <c r="E810"/>
      <c r="F810"/>
      <c r="G810"/>
      <c r="H810"/>
      <c r="I810"/>
      <c r="J810"/>
      <c r="K810"/>
      <c r="L810"/>
      <c r="M810"/>
      <c r="N810"/>
      <c r="O810"/>
    </row>
    <row r="811" spans="2:15" x14ac:dyDescent="0.25">
      <c r="B811"/>
      <c r="C811"/>
      <c r="D811"/>
      <c r="E811"/>
      <c r="F811"/>
      <c r="G811"/>
      <c r="H811"/>
      <c r="I811"/>
      <c r="J811"/>
      <c r="K811"/>
      <c r="L811"/>
      <c r="M811"/>
      <c r="N811"/>
      <c r="O811"/>
    </row>
    <row r="812" spans="2:15" x14ac:dyDescent="0.25">
      <c r="B812"/>
      <c r="C812"/>
      <c r="D812"/>
      <c r="E812"/>
      <c r="F812"/>
      <c r="G812"/>
      <c r="H812"/>
      <c r="I812"/>
      <c r="J812"/>
      <c r="K812"/>
      <c r="L812"/>
      <c r="M812"/>
      <c r="N812"/>
      <c r="O812"/>
    </row>
    <row r="813" spans="2:15" x14ac:dyDescent="0.25">
      <c r="B813"/>
      <c r="C813"/>
      <c r="D813"/>
      <c r="E813"/>
      <c r="F813"/>
      <c r="G813"/>
      <c r="H813"/>
      <c r="I813"/>
      <c r="J813"/>
      <c r="K813"/>
      <c r="L813"/>
      <c r="M813"/>
      <c r="N813"/>
      <c r="O813"/>
    </row>
    <row r="814" spans="2:15" x14ac:dyDescent="0.25">
      <c r="B814"/>
      <c r="C814"/>
      <c r="D814"/>
      <c r="E814"/>
      <c r="F814"/>
      <c r="G814"/>
      <c r="H814"/>
      <c r="I814"/>
      <c r="J814"/>
      <c r="K814"/>
      <c r="L814"/>
      <c r="M814"/>
      <c r="N814"/>
      <c r="O814"/>
    </row>
    <row r="815" spans="2:15" x14ac:dyDescent="0.25">
      <c r="B815"/>
      <c r="C815"/>
      <c r="D815"/>
      <c r="E815"/>
      <c r="F815"/>
      <c r="G815"/>
      <c r="H815"/>
      <c r="I815"/>
      <c r="J815"/>
      <c r="K815"/>
      <c r="L815"/>
      <c r="M815"/>
      <c r="N815"/>
      <c r="O815"/>
    </row>
    <row r="816" spans="2:15" x14ac:dyDescent="0.25">
      <c r="B816"/>
      <c r="C816"/>
      <c r="D816"/>
      <c r="E816"/>
      <c r="F816"/>
      <c r="G816"/>
      <c r="H816"/>
      <c r="I816"/>
      <c r="J816"/>
      <c r="K816"/>
      <c r="L816"/>
      <c r="M816"/>
      <c r="N816"/>
      <c r="O816"/>
    </row>
    <row r="817" spans="2:15" x14ac:dyDescent="0.25">
      <c r="B817"/>
      <c r="C817"/>
      <c r="D817"/>
      <c r="E817"/>
      <c r="F817"/>
      <c r="G817"/>
      <c r="H817"/>
      <c r="I817"/>
      <c r="J817"/>
      <c r="K817"/>
      <c r="L817"/>
      <c r="M817"/>
      <c r="N817"/>
      <c r="O817"/>
    </row>
    <row r="818" spans="2:15" x14ac:dyDescent="0.25">
      <c r="B818"/>
      <c r="C818"/>
      <c r="D818"/>
      <c r="E818"/>
      <c r="F818"/>
      <c r="G818"/>
      <c r="H818"/>
      <c r="I818"/>
      <c r="J818"/>
      <c r="K818"/>
      <c r="L818"/>
      <c r="M818"/>
      <c r="N818"/>
      <c r="O818"/>
    </row>
    <row r="819" spans="2:15" x14ac:dyDescent="0.25">
      <c r="B819"/>
      <c r="C819"/>
      <c r="D819"/>
      <c r="E819"/>
      <c r="F819"/>
      <c r="G819"/>
      <c r="H819"/>
      <c r="I819"/>
      <c r="J819"/>
      <c r="K819"/>
      <c r="L819"/>
      <c r="M819"/>
      <c r="N819"/>
      <c r="O819"/>
    </row>
    <row r="820" spans="2:15" x14ac:dyDescent="0.25">
      <c r="B820"/>
      <c r="C820"/>
      <c r="D820"/>
      <c r="E820"/>
      <c r="F820"/>
      <c r="G820"/>
      <c r="H820"/>
      <c r="I820"/>
      <c r="J820"/>
      <c r="K820"/>
      <c r="L820"/>
      <c r="M820"/>
      <c r="N820"/>
      <c r="O820"/>
    </row>
    <row r="821" spans="2:15" x14ac:dyDescent="0.25">
      <c r="B821"/>
      <c r="C821"/>
      <c r="D821"/>
      <c r="E821"/>
      <c r="F821"/>
      <c r="G821"/>
      <c r="H821"/>
      <c r="I821"/>
      <c r="J821"/>
      <c r="K821"/>
      <c r="L821"/>
      <c r="M821"/>
      <c r="N821"/>
      <c r="O821"/>
    </row>
    <row r="822" spans="2:15" x14ac:dyDescent="0.25">
      <c r="B822"/>
      <c r="C822"/>
      <c r="D822"/>
      <c r="E822"/>
      <c r="F822"/>
      <c r="G822"/>
      <c r="H822"/>
      <c r="I822"/>
      <c r="J822"/>
      <c r="K822"/>
      <c r="L822"/>
      <c r="M822"/>
      <c r="N822"/>
      <c r="O822"/>
    </row>
    <row r="823" spans="2:15" x14ac:dyDescent="0.25">
      <c r="B823"/>
      <c r="C823"/>
      <c r="D823"/>
      <c r="E823"/>
      <c r="F823"/>
      <c r="G823"/>
      <c r="H823"/>
      <c r="I823"/>
      <c r="J823"/>
      <c r="K823"/>
      <c r="L823"/>
      <c r="M823"/>
      <c r="N823"/>
      <c r="O823"/>
    </row>
    <row r="824" spans="2:15" x14ac:dyDescent="0.25">
      <c r="B824"/>
      <c r="C824"/>
      <c r="D824"/>
      <c r="E824"/>
      <c r="F824"/>
      <c r="G824"/>
      <c r="H824"/>
      <c r="I824"/>
      <c r="J824"/>
      <c r="K824"/>
      <c r="L824"/>
      <c r="M824"/>
      <c r="N824"/>
      <c r="O824"/>
    </row>
    <row r="825" spans="2:15" x14ac:dyDescent="0.25">
      <c r="B825"/>
      <c r="C825"/>
      <c r="D825"/>
      <c r="E825"/>
      <c r="F825"/>
      <c r="G825"/>
      <c r="H825"/>
      <c r="I825"/>
      <c r="J825"/>
      <c r="K825"/>
      <c r="L825"/>
      <c r="M825"/>
      <c r="N825"/>
      <c r="O825"/>
    </row>
    <row r="826" spans="2:15" x14ac:dyDescent="0.25">
      <c r="B826"/>
      <c r="C826"/>
      <c r="D826"/>
      <c r="E826"/>
      <c r="F826"/>
      <c r="G826"/>
      <c r="H826"/>
      <c r="I826"/>
      <c r="J826"/>
      <c r="K826"/>
      <c r="L826"/>
      <c r="M826"/>
      <c r="N826"/>
      <c r="O826"/>
    </row>
    <row r="827" spans="2:15" x14ac:dyDescent="0.25">
      <c r="B827"/>
      <c r="C827"/>
      <c r="D827"/>
      <c r="E827"/>
      <c r="F827"/>
      <c r="G827"/>
      <c r="H827"/>
      <c r="I827"/>
      <c r="J827"/>
      <c r="K827"/>
      <c r="L827"/>
      <c r="M827"/>
      <c r="N827"/>
      <c r="O827"/>
    </row>
    <row r="828" spans="2:15" x14ac:dyDescent="0.25">
      <c r="B828"/>
      <c r="C828"/>
      <c r="D828"/>
      <c r="E828"/>
      <c r="F828"/>
      <c r="G828"/>
      <c r="H828"/>
      <c r="I828"/>
      <c r="J828"/>
      <c r="K828"/>
      <c r="L828"/>
      <c r="M828"/>
      <c r="N828"/>
      <c r="O828"/>
    </row>
    <row r="829" spans="2:15" x14ac:dyDescent="0.25">
      <c r="B829"/>
      <c r="C829"/>
      <c r="D829"/>
      <c r="E829"/>
      <c r="F829"/>
      <c r="G829"/>
      <c r="H829"/>
      <c r="I829"/>
      <c r="J829"/>
      <c r="K829"/>
      <c r="L829"/>
      <c r="M829"/>
      <c r="N829"/>
      <c r="O829"/>
    </row>
    <row r="830" spans="2:15" x14ac:dyDescent="0.25">
      <c r="B830"/>
      <c r="C830"/>
      <c r="D830"/>
      <c r="E830"/>
      <c r="F830"/>
      <c r="G830"/>
      <c r="H830"/>
      <c r="I830"/>
      <c r="J830"/>
      <c r="K830"/>
      <c r="L830"/>
      <c r="M830"/>
      <c r="N830"/>
      <c r="O830"/>
    </row>
    <row r="831" spans="2:15" x14ac:dyDescent="0.25">
      <c r="B831"/>
      <c r="C831"/>
      <c r="D831"/>
      <c r="E831"/>
      <c r="F831"/>
      <c r="G831"/>
      <c r="H831"/>
      <c r="I831"/>
      <c r="J831"/>
      <c r="K831"/>
      <c r="L831"/>
      <c r="M831"/>
      <c r="N831"/>
      <c r="O831"/>
    </row>
    <row r="832" spans="2:15" x14ac:dyDescent="0.25">
      <c r="B832"/>
      <c r="C832"/>
      <c r="D832"/>
      <c r="E832"/>
      <c r="F832"/>
      <c r="G832"/>
      <c r="H832"/>
      <c r="I832"/>
      <c r="J832"/>
      <c r="K832"/>
      <c r="L832"/>
      <c r="M832"/>
      <c r="N832"/>
      <c r="O832"/>
    </row>
    <row r="833" spans="2:15" x14ac:dyDescent="0.25">
      <c r="B833"/>
      <c r="C833"/>
      <c r="D833"/>
      <c r="E833"/>
      <c r="F833"/>
      <c r="G833"/>
      <c r="H833"/>
      <c r="I833"/>
      <c r="J833"/>
      <c r="K833"/>
      <c r="L833"/>
      <c r="M833"/>
      <c r="N833"/>
      <c r="O833"/>
    </row>
    <row r="834" spans="2:15" x14ac:dyDescent="0.25">
      <c r="B834"/>
      <c r="C834"/>
      <c r="D834"/>
      <c r="E834"/>
      <c r="F834"/>
      <c r="G834"/>
      <c r="H834"/>
      <c r="I834"/>
      <c r="J834"/>
      <c r="K834"/>
      <c r="L834"/>
      <c r="M834"/>
      <c r="N834"/>
      <c r="O834"/>
    </row>
    <row r="835" spans="2:15" x14ac:dyDescent="0.25">
      <c r="B835"/>
      <c r="C835"/>
      <c r="D835"/>
      <c r="E835"/>
      <c r="F835"/>
      <c r="G835"/>
      <c r="H835"/>
      <c r="I835"/>
      <c r="J835"/>
      <c r="K835"/>
      <c r="L835"/>
      <c r="M835"/>
      <c r="N835"/>
      <c r="O835"/>
    </row>
    <row r="836" spans="2:15" x14ac:dyDescent="0.25">
      <c r="B836"/>
      <c r="C836"/>
      <c r="D836"/>
      <c r="E836"/>
      <c r="F836"/>
      <c r="G836"/>
      <c r="H836"/>
      <c r="I836"/>
      <c r="J836"/>
      <c r="K836"/>
      <c r="L836"/>
      <c r="M836"/>
      <c r="N836"/>
      <c r="O836"/>
    </row>
    <row r="837" spans="2:15" x14ac:dyDescent="0.25">
      <c r="B837"/>
      <c r="C837"/>
      <c r="D837"/>
      <c r="E837"/>
      <c r="F837"/>
      <c r="G837"/>
      <c r="H837"/>
      <c r="I837"/>
      <c r="J837"/>
      <c r="K837"/>
      <c r="L837"/>
      <c r="M837"/>
      <c r="N837"/>
      <c r="O837"/>
    </row>
    <row r="838" spans="2:15" x14ac:dyDescent="0.25">
      <c r="B838"/>
      <c r="C838"/>
      <c r="D838"/>
      <c r="E838"/>
      <c r="F838"/>
      <c r="G838"/>
      <c r="H838"/>
      <c r="I838"/>
      <c r="J838"/>
      <c r="K838"/>
      <c r="L838"/>
      <c r="M838"/>
      <c r="N838"/>
      <c r="O838"/>
    </row>
    <row r="839" spans="2:15" x14ac:dyDescent="0.25">
      <c r="B839"/>
      <c r="C839"/>
      <c r="D839"/>
      <c r="E839"/>
      <c r="F839"/>
      <c r="G839"/>
      <c r="H839"/>
      <c r="I839"/>
      <c r="J839"/>
      <c r="K839"/>
      <c r="L839"/>
      <c r="M839"/>
      <c r="N839"/>
      <c r="O839"/>
    </row>
    <row r="840" spans="2:15" x14ac:dyDescent="0.25">
      <c r="B840"/>
      <c r="C840"/>
      <c r="D840"/>
      <c r="E840"/>
      <c r="F840"/>
      <c r="G840"/>
      <c r="H840"/>
      <c r="I840"/>
      <c r="J840"/>
      <c r="K840"/>
      <c r="L840"/>
      <c r="M840"/>
      <c r="N840"/>
      <c r="O840"/>
    </row>
    <row r="841" spans="2:15" x14ac:dyDescent="0.25">
      <c r="B841"/>
      <c r="C841"/>
      <c r="D841"/>
      <c r="E841"/>
      <c r="F841"/>
      <c r="G841"/>
      <c r="H841"/>
      <c r="I841"/>
      <c r="J841"/>
      <c r="K841"/>
      <c r="L841"/>
      <c r="M841"/>
      <c r="N841"/>
      <c r="O841"/>
    </row>
    <row r="842" spans="2:15" x14ac:dyDescent="0.25">
      <c r="B842"/>
      <c r="C842"/>
      <c r="D842"/>
      <c r="E842"/>
      <c r="F842"/>
      <c r="G842"/>
      <c r="H842"/>
      <c r="I842"/>
      <c r="J842"/>
      <c r="K842"/>
      <c r="L842"/>
      <c r="M842"/>
      <c r="N842"/>
      <c r="O842"/>
    </row>
    <row r="843" spans="2:15" x14ac:dyDescent="0.25">
      <c r="B843"/>
      <c r="C843"/>
      <c r="D843"/>
      <c r="E843"/>
      <c r="F843"/>
      <c r="G843"/>
      <c r="H843"/>
      <c r="I843"/>
      <c r="J843"/>
      <c r="K843"/>
      <c r="L843"/>
      <c r="M843"/>
      <c r="N843"/>
      <c r="O843"/>
    </row>
    <row r="844" spans="2:15" x14ac:dyDescent="0.25">
      <c r="B844"/>
      <c r="C844"/>
      <c r="D844"/>
      <c r="E844"/>
      <c r="F844"/>
      <c r="G844"/>
      <c r="H844"/>
      <c r="I844"/>
      <c r="J844"/>
      <c r="K844"/>
      <c r="L844"/>
      <c r="M844"/>
      <c r="N844"/>
      <c r="O844"/>
    </row>
    <row r="845" spans="2:15" x14ac:dyDescent="0.25">
      <c r="B845"/>
      <c r="C845"/>
      <c r="D845"/>
      <c r="E845"/>
      <c r="F845"/>
      <c r="G845"/>
      <c r="H845"/>
      <c r="I845"/>
      <c r="J845"/>
      <c r="K845"/>
      <c r="L845"/>
      <c r="M845"/>
      <c r="N845"/>
      <c r="O845"/>
    </row>
    <row r="846" spans="2:15" x14ac:dyDescent="0.25">
      <c r="B846"/>
      <c r="C846"/>
      <c r="D846"/>
      <c r="E846"/>
      <c r="F846"/>
      <c r="G846"/>
      <c r="H846"/>
      <c r="I846"/>
      <c r="J846"/>
      <c r="K846"/>
      <c r="L846"/>
      <c r="M846"/>
      <c r="N846"/>
      <c r="O846"/>
    </row>
    <row r="847" spans="2:15" x14ac:dyDescent="0.25">
      <c r="B847"/>
      <c r="C847"/>
      <c r="D847"/>
      <c r="E847"/>
      <c r="F847"/>
      <c r="G847"/>
      <c r="H847"/>
      <c r="I847"/>
      <c r="J847"/>
      <c r="K847"/>
      <c r="L847"/>
      <c r="M847"/>
      <c r="N847"/>
      <c r="O847"/>
    </row>
    <row r="848" spans="2:15" x14ac:dyDescent="0.25">
      <c r="B848"/>
      <c r="C848"/>
      <c r="D848"/>
      <c r="E848"/>
      <c r="F848"/>
      <c r="G848"/>
      <c r="H848"/>
      <c r="I848"/>
      <c r="J848"/>
      <c r="K848"/>
      <c r="L848"/>
      <c r="M848"/>
      <c r="N848"/>
      <c r="O848"/>
    </row>
    <row r="849" spans="2:15" x14ac:dyDescent="0.25">
      <c r="B849"/>
      <c r="C849"/>
      <c r="D849"/>
      <c r="E849"/>
      <c r="F849"/>
      <c r="G849"/>
      <c r="H849"/>
      <c r="I849"/>
      <c r="J849"/>
      <c r="K849"/>
      <c r="L849"/>
      <c r="M849"/>
      <c r="N849"/>
      <c r="O849"/>
    </row>
    <row r="850" spans="2:15" x14ac:dyDescent="0.25">
      <c r="B850"/>
      <c r="C850"/>
      <c r="D850"/>
      <c r="E850"/>
      <c r="F850"/>
      <c r="G850"/>
      <c r="H850"/>
      <c r="I850"/>
      <c r="J850"/>
      <c r="K850"/>
      <c r="L850"/>
      <c r="M850"/>
      <c r="N850"/>
      <c r="O850"/>
    </row>
    <row r="851" spans="2:15" x14ac:dyDescent="0.25">
      <c r="B851"/>
      <c r="C851"/>
      <c r="D851"/>
      <c r="E851"/>
      <c r="F851"/>
      <c r="G851"/>
      <c r="H851"/>
      <c r="I851"/>
      <c r="J851"/>
      <c r="K851"/>
      <c r="L851"/>
      <c r="M851"/>
      <c r="N851"/>
      <c r="O851"/>
    </row>
    <row r="852" spans="2:15" x14ac:dyDescent="0.25">
      <c r="B852"/>
      <c r="C852"/>
      <c r="D852"/>
      <c r="E852"/>
      <c r="F852"/>
      <c r="G852"/>
      <c r="H852"/>
      <c r="I852"/>
      <c r="J852"/>
      <c r="K852"/>
      <c r="L852"/>
      <c r="M852"/>
      <c r="N852"/>
      <c r="O852"/>
    </row>
    <row r="853" spans="2:15" x14ac:dyDescent="0.25">
      <c r="B853"/>
      <c r="C853"/>
      <c r="D853"/>
      <c r="E853"/>
      <c r="F853"/>
      <c r="G853"/>
      <c r="H853"/>
      <c r="I853"/>
      <c r="J853"/>
      <c r="K853"/>
      <c r="L853"/>
      <c r="M853"/>
      <c r="N853"/>
      <c r="O853"/>
    </row>
    <row r="854" spans="2:15" x14ac:dyDescent="0.25">
      <c r="B854"/>
      <c r="C854"/>
      <c r="D854"/>
      <c r="E854"/>
      <c r="F854"/>
      <c r="G854"/>
      <c r="H854"/>
      <c r="I854"/>
      <c r="J854"/>
      <c r="K854"/>
      <c r="L854"/>
      <c r="M854"/>
      <c r="N854"/>
      <c r="O854"/>
    </row>
    <row r="855" spans="2:15" x14ac:dyDescent="0.25">
      <c r="B855"/>
      <c r="C855"/>
      <c r="D855"/>
      <c r="E855"/>
      <c r="F855"/>
      <c r="G855"/>
      <c r="H855"/>
      <c r="I855"/>
      <c r="J855"/>
      <c r="K855"/>
      <c r="L855"/>
      <c r="M855"/>
      <c r="N855"/>
      <c r="O855"/>
    </row>
    <row r="856" spans="2:15" x14ac:dyDescent="0.25">
      <c r="B856"/>
      <c r="C856"/>
      <c r="D856"/>
      <c r="E856"/>
      <c r="F856"/>
      <c r="G856"/>
      <c r="H856"/>
      <c r="I856"/>
      <c r="J856"/>
      <c r="K856"/>
      <c r="L856"/>
      <c r="M856"/>
      <c r="N856"/>
      <c r="O856"/>
    </row>
    <row r="857" spans="2:15" x14ac:dyDescent="0.25">
      <c r="B857"/>
      <c r="C857"/>
      <c r="D857"/>
      <c r="E857"/>
      <c r="F857"/>
      <c r="G857"/>
      <c r="H857"/>
      <c r="I857"/>
      <c r="J857"/>
      <c r="K857"/>
      <c r="L857"/>
      <c r="M857"/>
      <c r="N857"/>
      <c r="O857"/>
    </row>
    <row r="858" spans="2:15" x14ac:dyDescent="0.25">
      <c r="B858"/>
      <c r="C858"/>
      <c r="D858"/>
      <c r="E858"/>
      <c r="F858"/>
      <c r="G858"/>
      <c r="H858"/>
      <c r="I858"/>
      <c r="J858"/>
      <c r="K858"/>
      <c r="L858"/>
      <c r="M858"/>
      <c r="N858"/>
      <c r="O858"/>
    </row>
    <row r="859" spans="2:15" x14ac:dyDescent="0.25">
      <c r="B859"/>
      <c r="C859"/>
      <c r="D859"/>
      <c r="E859"/>
      <c r="F859"/>
      <c r="G859"/>
      <c r="H859"/>
      <c r="I859"/>
      <c r="J859"/>
      <c r="K859"/>
      <c r="L859"/>
      <c r="M859"/>
      <c r="N859"/>
      <c r="O859"/>
    </row>
    <row r="860" spans="2:15" x14ac:dyDescent="0.25">
      <c r="B860"/>
      <c r="C860"/>
      <c r="D860"/>
      <c r="E860"/>
      <c r="F860"/>
      <c r="G860"/>
      <c r="H860"/>
      <c r="I860"/>
      <c r="J860"/>
      <c r="K860"/>
      <c r="L860"/>
      <c r="M860"/>
      <c r="N860"/>
      <c r="O860"/>
    </row>
    <row r="861" spans="2:15" x14ac:dyDescent="0.25">
      <c r="B861"/>
      <c r="C861"/>
      <c r="D861"/>
      <c r="E861"/>
      <c r="F861"/>
      <c r="G861"/>
      <c r="H861"/>
      <c r="I861"/>
      <c r="J861"/>
      <c r="K861"/>
      <c r="L861"/>
      <c r="M861"/>
      <c r="N861"/>
      <c r="O861"/>
    </row>
    <row r="862" spans="2:15" x14ac:dyDescent="0.25">
      <c r="B862"/>
      <c r="C862"/>
      <c r="D862"/>
      <c r="E862"/>
      <c r="F862"/>
      <c r="G862"/>
      <c r="H862"/>
      <c r="I862"/>
      <c r="J862"/>
      <c r="K862"/>
      <c r="L862"/>
      <c r="M862"/>
      <c r="N862"/>
      <c r="O862"/>
    </row>
    <row r="863" spans="2:15" x14ac:dyDescent="0.25">
      <c r="B863"/>
      <c r="C863"/>
      <c r="D863"/>
      <c r="E863"/>
      <c r="F863"/>
      <c r="G863"/>
      <c r="H863"/>
      <c r="I863"/>
      <c r="J863"/>
      <c r="K863"/>
      <c r="L863"/>
      <c r="M863"/>
      <c r="N863"/>
      <c r="O863"/>
    </row>
    <row r="864" spans="2:15" x14ac:dyDescent="0.25">
      <c r="B864"/>
      <c r="C864"/>
      <c r="D864"/>
      <c r="E864"/>
      <c r="F864"/>
      <c r="G864"/>
      <c r="H864"/>
      <c r="I864"/>
      <c r="J864"/>
      <c r="K864"/>
      <c r="L864"/>
      <c r="M864"/>
      <c r="N864"/>
      <c r="O864"/>
    </row>
    <row r="865" spans="2:15" x14ac:dyDescent="0.25">
      <c r="B865"/>
      <c r="C865"/>
      <c r="D865"/>
      <c r="E865"/>
      <c r="F865"/>
      <c r="G865"/>
      <c r="H865"/>
      <c r="I865"/>
      <c r="J865"/>
      <c r="K865"/>
      <c r="L865"/>
      <c r="M865"/>
      <c r="N865"/>
      <c r="O865"/>
    </row>
    <row r="866" spans="2:15" x14ac:dyDescent="0.25">
      <c r="B866"/>
      <c r="C866"/>
      <c r="D866"/>
      <c r="E866"/>
      <c r="F866"/>
      <c r="G866"/>
      <c r="H866"/>
      <c r="I866"/>
      <c r="J866"/>
      <c r="K866"/>
      <c r="L866"/>
      <c r="M866"/>
      <c r="N866"/>
      <c r="O866"/>
    </row>
    <row r="867" spans="2:15" x14ac:dyDescent="0.25">
      <c r="B867"/>
      <c r="C867"/>
      <c r="D867"/>
      <c r="E867"/>
      <c r="F867"/>
      <c r="G867"/>
      <c r="H867"/>
      <c r="I867"/>
      <c r="J867"/>
      <c r="K867"/>
      <c r="L867"/>
      <c r="M867"/>
      <c r="N867"/>
      <c r="O867"/>
    </row>
    <row r="868" spans="2:15" x14ac:dyDescent="0.25">
      <c r="B868"/>
      <c r="C868"/>
      <c r="D868"/>
      <c r="E868"/>
      <c r="F868"/>
      <c r="G868"/>
      <c r="H868"/>
      <c r="I868"/>
      <c r="J868"/>
      <c r="K868"/>
      <c r="L868"/>
      <c r="M868"/>
      <c r="N868"/>
      <c r="O868"/>
    </row>
    <row r="869" spans="2:15" x14ac:dyDescent="0.25">
      <c r="B869"/>
      <c r="C869"/>
      <c r="D869"/>
      <c r="E869"/>
      <c r="F869"/>
      <c r="G869"/>
      <c r="H869"/>
      <c r="I869"/>
      <c r="J869"/>
      <c r="K869"/>
      <c r="L869"/>
      <c r="M869"/>
      <c r="N869"/>
      <c r="O869"/>
    </row>
    <row r="870" spans="2:15" x14ac:dyDescent="0.25">
      <c r="B870"/>
      <c r="C870"/>
      <c r="D870"/>
      <c r="E870"/>
      <c r="F870"/>
      <c r="G870"/>
      <c r="H870"/>
      <c r="I870"/>
      <c r="J870"/>
      <c r="K870"/>
      <c r="L870"/>
      <c r="M870"/>
      <c r="N870"/>
      <c r="O870"/>
    </row>
    <row r="871" spans="2:15" x14ac:dyDescent="0.25">
      <c r="B871"/>
      <c r="C871"/>
      <c r="D871"/>
      <c r="E871"/>
      <c r="F871"/>
      <c r="G871"/>
      <c r="H871"/>
      <c r="I871"/>
      <c r="J871"/>
      <c r="K871"/>
      <c r="L871"/>
      <c r="M871"/>
      <c r="N871"/>
      <c r="O871"/>
    </row>
    <row r="872" spans="2:15" x14ac:dyDescent="0.25">
      <c r="B872"/>
      <c r="C872"/>
      <c r="D872"/>
      <c r="E872"/>
      <c r="F872"/>
      <c r="G872"/>
      <c r="H872"/>
      <c r="I872"/>
      <c r="J872"/>
      <c r="K872"/>
      <c r="L872"/>
      <c r="M872"/>
      <c r="N872"/>
      <c r="O872"/>
    </row>
    <row r="873" spans="2:15" x14ac:dyDescent="0.25">
      <c r="B873"/>
      <c r="C873"/>
      <c r="D873"/>
      <c r="E873"/>
      <c r="F873"/>
      <c r="G873"/>
      <c r="H873"/>
      <c r="I873"/>
      <c r="J873"/>
      <c r="K873"/>
      <c r="L873"/>
      <c r="M873"/>
      <c r="N873"/>
      <c r="O873"/>
    </row>
    <row r="874" spans="2:15" x14ac:dyDescent="0.25">
      <c r="B874"/>
      <c r="C874"/>
      <c r="D874"/>
      <c r="E874"/>
      <c r="F874"/>
      <c r="G874"/>
      <c r="H874"/>
      <c r="I874"/>
      <c r="J874"/>
      <c r="K874"/>
      <c r="L874"/>
      <c r="M874"/>
      <c r="N874"/>
      <c r="O874"/>
    </row>
    <row r="875" spans="2:15" x14ac:dyDescent="0.25">
      <c r="B875"/>
      <c r="C875"/>
      <c r="D875"/>
      <c r="E875"/>
      <c r="F875"/>
      <c r="G875"/>
      <c r="H875"/>
      <c r="I875"/>
      <c r="J875"/>
      <c r="K875"/>
      <c r="L875"/>
      <c r="M875"/>
      <c r="N875"/>
      <c r="O875"/>
    </row>
    <row r="876" spans="2:15" x14ac:dyDescent="0.25">
      <c r="B876"/>
      <c r="C876"/>
      <c r="D876"/>
      <c r="E876"/>
      <c r="F876"/>
      <c r="G876"/>
      <c r="H876"/>
      <c r="I876"/>
      <c r="J876"/>
      <c r="K876"/>
      <c r="L876"/>
      <c r="M876"/>
      <c r="N876"/>
      <c r="O876"/>
    </row>
    <row r="877" spans="2:15" x14ac:dyDescent="0.25">
      <c r="B877"/>
      <c r="C877"/>
      <c r="D877"/>
      <c r="E877"/>
      <c r="F877"/>
      <c r="G877"/>
      <c r="H877"/>
      <c r="I877"/>
      <c r="J877"/>
      <c r="K877"/>
      <c r="L877"/>
      <c r="M877"/>
      <c r="N877"/>
      <c r="O877"/>
    </row>
    <row r="878" spans="2:15" x14ac:dyDescent="0.25">
      <c r="B878"/>
      <c r="C878"/>
      <c r="D878"/>
      <c r="E878"/>
      <c r="F878"/>
      <c r="G878"/>
      <c r="H878"/>
      <c r="I878"/>
      <c r="J878"/>
      <c r="K878"/>
      <c r="L878"/>
      <c r="M878"/>
      <c r="N878"/>
      <c r="O878"/>
    </row>
    <row r="879" spans="2:15" x14ac:dyDescent="0.25">
      <c r="B879"/>
      <c r="C879"/>
      <c r="D879"/>
      <c r="E879"/>
      <c r="F879"/>
      <c r="G879"/>
      <c r="H879"/>
      <c r="I879"/>
      <c r="J879"/>
      <c r="K879"/>
      <c r="L879"/>
      <c r="M879"/>
      <c r="N879"/>
      <c r="O879"/>
    </row>
    <row r="880" spans="2:15" x14ac:dyDescent="0.25">
      <c r="B880"/>
      <c r="C880"/>
      <c r="D880"/>
      <c r="E880"/>
      <c r="F880"/>
      <c r="G880"/>
      <c r="H880"/>
      <c r="I880"/>
      <c r="J880"/>
      <c r="K880"/>
      <c r="L880"/>
      <c r="M880"/>
      <c r="N880"/>
      <c r="O880"/>
    </row>
    <row r="881" spans="2:15" x14ac:dyDescent="0.25">
      <c r="B881"/>
      <c r="C881"/>
      <c r="D881"/>
      <c r="E881"/>
      <c r="F881"/>
      <c r="G881"/>
      <c r="H881"/>
      <c r="I881"/>
      <c r="J881"/>
      <c r="K881"/>
      <c r="L881"/>
      <c r="M881"/>
      <c r="N881"/>
      <c r="O881"/>
    </row>
    <row r="882" spans="2:15" x14ac:dyDescent="0.25">
      <c r="B882"/>
      <c r="C882"/>
      <c r="D882"/>
      <c r="E882"/>
      <c r="F882"/>
      <c r="G882"/>
      <c r="H882"/>
      <c r="I882"/>
      <c r="J882"/>
      <c r="K882"/>
      <c r="L882"/>
      <c r="M882"/>
      <c r="N882"/>
      <c r="O882"/>
    </row>
    <row r="883" spans="2:15" x14ac:dyDescent="0.25">
      <c r="B883"/>
      <c r="C883"/>
      <c r="D883"/>
      <c r="E883"/>
      <c r="F883"/>
      <c r="G883"/>
      <c r="H883"/>
      <c r="I883"/>
      <c r="J883"/>
      <c r="K883"/>
      <c r="L883"/>
      <c r="M883"/>
      <c r="N883"/>
      <c r="O883"/>
    </row>
    <row r="884" spans="2:15" x14ac:dyDescent="0.25">
      <c r="B884"/>
      <c r="C884"/>
      <c r="D884"/>
      <c r="E884"/>
      <c r="F884"/>
      <c r="G884"/>
      <c r="H884"/>
      <c r="I884"/>
      <c r="J884"/>
      <c r="K884"/>
      <c r="L884"/>
      <c r="M884"/>
      <c r="N884"/>
      <c r="O884"/>
    </row>
    <row r="885" spans="2:15" x14ac:dyDescent="0.25">
      <c r="B885"/>
      <c r="C885"/>
      <c r="D885"/>
      <c r="E885"/>
      <c r="F885"/>
      <c r="G885"/>
      <c r="H885"/>
      <c r="I885"/>
      <c r="J885"/>
      <c r="K885"/>
      <c r="L885"/>
      <c r="M885"/>
      <c r="N885"/>
      <c r="O885"/>
    </row>
    <row r="886" spans="2:15" x14ac:dyDescent="0.25">
      <c r="B886"/>
      <c r="C886"/>
      <c r="D886"/>
      <c r="E886"/>
      <c r="F886"/>
      <c r="G886"/>
      <c r="H886"/>
      <c r="I886"/>
      <c r="J886"/>
      <c r="K886"/>
      <c r="L886"/>
      <c r="M886"/>
      <c r="N886"/>
      <c r="O886"/>
    </row>
    <row r="887" spans="2:15" x14ac:dyDescent="0.25">
      <c r="B887"/>
      <c r="C887"/>
      <c r="D887"/>
      <c r="E887"/>
      <c r="F887"/>
      <c r="G887"/>
      <c r="H887"/>
      <c r="I887"/>
      <c r="J887"/>
      <c r="K887"/>
      <c r="L887"/>
      <c r="M887"/>
      <c r="N887"/>
      <c r="O887"/>
    </row>
    <row r="888" spans="2:15" x14ac:dyDescent="0.25">
      <c r="B888"/>
      <c r="C888"/>
      <c r="D888"/>
      <c r="E888"/>
      <c r="F888"/>
      <c r="G888"/>
      <c r="H888"/>
      <c r="I888"/>
      <c r="J888"/>
      <c r="K888"/>
      <c r="L888"/>
      <c r="M888"/>
      <c r="N888"/>
      <c r="O888"/>
    </row>
    <row r="889" spans="2:15" x14ac:dyDescent="0.25">
      <c r="B889"/>
      <c r="C889"/>
      <c r="D889"/>
      <c r="E889"/>
      <c r="F889"/>
      <c r="G889"/>
      <c r="H889"/>
      <c r="I889"/>
      <c r="J889"/>
      <c r="K889"/>
      <c r="L889"/>
      <c r="M889"/>
      <c r="N889"/>
      <c r="O889"/>
    </row>
    <row r="890" spans="2:15" x14ac:dyDescent="0.25">
      <c r="B890"/>
      <c r="C890"/>
      <c r="D890"/>
      <c r="E890"/>
      <c r="F890"/>
      <c r="G890"/>
      <c r="H890"/>
      <c r="I890"/>
      <c r="J890"/>
      <c r="K890"/>
      <c r="L890"/>
      <c r="M890"/>
      <c r="N890"/>
      <c r="O890"/>
    </row>
    <row r="891" spans="2:15" x14ac:dyDescent="0.25">
      <c r="B891"/>
      <c r="C891"/>
      <c r="D891"/>
      <c r="E891"/>
      <c r="F891"/>
      <c r="G891"/>
      <c r="H891"/>
      <c r="I891"/>
      <c r="J891"/>
      <c r="K891"/>
      <c r="L891"/>
      <c r="M891"/>
      <c r="N891"/>
      <c r="O891"/>
    </row>
    <row r="892" spans="2:15" x14ac:dyDescent="0.25">
      <c r="B892"/>
      <c r="C892"/>
      <c r="D892"/>
      <c r="E892"/>
      <c r="F892"/>
      <c r="G892"/>
      <c r="H892"/>
      <c r="I892"/>
      <c r="J892"/>
      <c r="K892"/>
      <c r="L892"/>
      <c r="M892"/>
      <c r="N892"/>
      <c r="O892"/>
    </row>
    <row r="893" spans="2:15" x14ac:dyDescent="0.25">
      <c r="B893"/>
      <c r="C893"/>
      <c r="D893"/>
      <c r="E893"/>
      <c r="F893"/>
      <c r="G893"/>
      <c r="H893"/>
      <c r="I893"/>
      <c r="J893"/>
      <c r="K893"/>
      <c r="L893"/>
      <c r="M893"/>
      <c r="N893"/>
      <c r="O893"/>
    </row>
    <row r="894" spans="2:15" x14ac:dyDescent="0.25">
      <c r="B894"/>
      <c r="C894"/>
      <c r="D894"/>
      <c r="E894"/>
      <c r="F894"/>
      <c r="G894"/>
      <c r="H894"/>
      <c r="I894"/>
      <c r="J894"/>
      <c r="K894"/>
      <c r="L894"/>
      <c r="M894"/>
      <c r="N894"/>
      <c r="O894"/>
    </row>
    <row r="895" spans="2:15" x14ac:dyDescent="0.25">
      <c r="B895"/>
      <c r="C895"/>
      <c r="D895"/>
      <c r="E895"/>
      <c r="F895"/>
      <c r="G895"/>
      <c r="H895"/>
      <c r="I895"/>
      <c r="J895"/>
      <c r="K895"/>
      <c r="L895"/>
      <c r="M895"/>
      <c r="N895"/>
      <c r="O895"/>
    </row>
    <row r="896" spans="2:15" x14ac:dyDescent="0.25">
      <c r="B896"/>
      <c r="C896"/>
      <c r="D896"/>
      <c r="E896"/>
      <c r="F896"/>
      <c r="G896"/>
      <c r="H896"/>
      <c r="I896"/>
      <c r="J896"/>
      <c r="K896"/>
      <c r="L896"/>
      <c r="M896"/>
      <c r="N896"/>
      <c r="O896"/>
    </row>
    <row r="897" spans="2:15" x14ac:dyDescent="0.25">
      <c r="B897"/>
      <c r="C897"/>
      <c r="D897"/>
      <c r="E897"/>
      <c r="F897"/>
      <c r="G897"/>
      <c r="H897"/>
      <c r="I897"/>
      <c r="J897"/>
      <c r="K897"/>
      <c r="L897"/>
      <c r="M897"/>
      <c r="N897"/>
      <c r="O897"/>
    </row>
    <row r="898" spans="2:15" x14ac:dyDescent="0.25">
      <c r="B898"/>
      <c r="C898"/>
      <c r="D898"/>
      <c r="E898"/>
      <c r="F898"/>
      <c r="G898"/>
      <c r="H898"/>
      <c r="I898"/>
      <c r="J898"/>
      <c r="K898"/>
      <c r="L898"/>
      <c r="M898"/>
      <c r="N898"/>
      <c r="O898"/>
    </row>
    <row r="899" spans="2:15" x14ac:dyDescent="0.25">
      <c r="B899"/>
      <c r="C899"/>
      <c r="D899"/>
      <c r="E899"/>
      <c r="F899"/>
      <c r="G899"/>
      <c r="H899"/>
      <c r="I899"/>
      <c r="J899"/>
      <c r="K899"/>
      <c r="L899"/>
      <c r="M899"/>
      <c r="N899"/>
      <c r="O899"/>
    </row>
    <row r="900" spans="2:15" x14ac:dyDescent="0.25">
      <c r="B900"/>
      <c r="C900"/>
      <c r="D900"/>
      <c r="E900"/>
      <c r="F900"/>
      <c r="G900"/>
      <c r="H900"/>
      <c r="I900"/>
      <c r="J900"/>
      <c r="K900"/>
      <c r="L900"/>
      <c r="M900"/>
      <c r="N900"/>
      <c r="O900"/>
    </row>
    <row r="901" spans="2:15" x14ac:dyDescent="0.25">
      <c r="B901"/>
      <c r="C901"/>
      <c r="D901"/>
      <c r="E901"/>
      <c r="F901"/>
      <c r="G901"/>
      <c r="H901"/>
      <c r="I901"/>
      <c r="J901"/>
      <c r="K901"/>
      <c r="L901"/>
      <c r="M901"/>
      <c r="N901"/>
      <c r="O901"/>
    </row>
    <row r="902" spans="2:15" x14ac:dyDescent="0.25">
      <c r="B902"/>
      <c r="C902"/>
      <c r="D902"/>
      <c r="E902"/>
      <c r="F902"/>
      <c r="G902"/>
      <c r="H902"/>
      <c r="I902"/>
      <c r="J902"/>
      <c r="K902"/>
      <c r="L902"/>
      <c r="M902"/>
      <c r="N902"/>
      <c r="O902"/>
    </row>
    <row r="903" spans="2:15" x14ac:dyDescent="0.25">
      <c r="B903"/>
      <c r="C903"/>
      <c r="D903"/>
      <c r="E903"/>
      <c r="F903"/>
      <c r="G903"/>
      <c r="H903"/>
      <c r="I903"/>
      <c r="J903"/>
      <c r="K903"/>
      <c r="L903"/>
      <c r="M903"/>
      <c r="N903"/>
      <c r="O903"/>
    </row>
    <row r="904" spans="2:15" x14ac:dyDescent="0.25">
      <c r="B904"/>
      <c r="C904"/>
      <c r="D904"/>
      <c r="E904"/>
      <c r="F904"/>
      <c r="G904"/>
      <c r="H904"/>
      <c r="I904"/>
      <c r="J904"/>
      <c r="K904"/>
      <c r="L904"/>
      <c r="M904"/>
      <c r="N904"/>
      <c r="O904"/>
    </row>
    <row r="905" spans="2:15" x14ac:dyDescent="0.25">
      <c r="B905"/>
      <c r="C905"/>
      <c r="D905"/>
      <c r="E905"/>
      <c r="F905"/>
      <c r="G905"/>
      <c r="H905"/>
      <c r="I905"/>
      <c r="J905"/>
      <c r="K905"/>
      <c r="L905"/>
      <c r="M905"/>
      <c r="N905"/>
      <c r="O905"/>
    </row>
    <row r="906" spans="2:15" x14ac:dyDescent="0.25">
      <c r="B906"/>
      <c r="C906"/>
      <c r="D906"/>
      <c r="E906"/>
      <c r="F906"/>
      <c r="G906"/>
      <c r="H906"/>
      <c r="I906"/>
      <c r="J906"/>
      <c r="K906"/>
      <c r="L906"/>
      <c r="M906"/>
      <c r="N906"/>
      <c r="O906"/>
    </row>
    <row r="907" spans="2:15" x14ac:dyDescent="0.25">
      <c r="B907"/>
      <c r="C907"/>
      <c r="D907"/>
      <c r="E907"/>
      <c r="F907"/>
      <c r="G907"/>
      <c r="H907"/>
      <c r="I907"/>
      <c r="J907"/>
      <c r="K907"/>
      <c r="L907"/>
      <c r="M907"/>
      <c r="N907"/>
      <c r="O907"/>
    </row>
    <row r="908" spans="2:15" x14ac:dyDescent="0.25">
      <c r="B908"/>
      <c r="C908"/>
      <c r="D908"/>
      <c r="E908"/>
      <c r="F908"/>
      <c r="G908"/>
      <c r="H908"/>
      <c r="I908"/>
      <c r="J908"/>
      <c r="K908"/>
      <c r="L908"/>
      <c r="M908"/>
      <c r="N908"/>
      <c r="O908"/>
    </row>
    <row r="909" spans="2:15" x14ac:dyDescent="0.25">
      <c r="B909"/>
      <c r="C909"/>
      <c r="D909"/>
      <c r="E909"/>
      <c r="F909"/>
      <c r="G909"/>
      <c r="H909"/>
      <c r="I909"/>
      <c r="J909"/>
      <c r="K909"/>
      <c r="L909"/>
      <c r="M909"/>
      <c r="N909"/>
      <c r="O909"/>
    </row>
    <row r="910" spans="2:15" x14ac:dyDescent="0.25">
      <c r="B910"/>
      <c r="C910"/>
      <c r="D910"/>
      <c r="E910"/>
      <c r="F910"/>
      <c r="G910"/>
      <c r="H910"/>
      <c r="I910"/>
      <c r="J910"/>
      <c r="K910"/>
      <c r="L910"/>
      <c r="M910"/>
      <c r="N910"/>
      <c r="O910"/>
    </row>
    <row r="911" spans="2:15" x14ac:dyDescent="0.25">
      <c r="B911"/>
      <c r="C911"/>
      <c r="D911"/>
      <c r="E911"/>
      <c r="F911"/>
      <c r="G911"/>
      <c r="H911"/>
      <c r="I911"/>
      <c r="J911"/>
      <c r="K911"/>
      <c r="L911"/>
      <c r="M911"/>
      <c r="N911"/>
      <c r="O911"/>
    </row>
    <row r="912" spans="2:15" x14ac:dyDescent="0.25">
      <c r="B912"/>
      <c r="C912"/>
      <c r="D912"/>
      <c r="E912"/>
      <c r="F912"/>
      <c r="G912"/>
      <c r="H912"/>
      <c r="I912"/>
      <c r="J912"/>
      <c r="K912"/>
      <c r="L912"/>
      <c r="M912"/>
      <c r="N912"/>
      <c r="O912"/>
    </row>
    <row r="913" spans="2:15" x14ac:dyDescent="0.25">
      <c r="B913"/>
      <c r="C913"/>
      <c r="D913"/>
      <c r="E913"/>
      <c r="F913"/>
      <c r="G913"/>
      <c r="H913"/>
      <c r="I913"/>
      <c r="J913"/>
      <c r="K913"/>
      <c r="L913"/>
      <c r="M913"/>
      <c r="N913"/>
      <c r="O913"/>
    </row>
    <row r="914" spans="2:15" x14ac:dyDescent="0.25">
      <c r="B914"/>
      <c r="C914"/>
      <c r="D914"/>
      <c r="E914"/>
      <c r="F914"/>
      <c r="G914"/>
      <c r="H914"/>
      <c r="I914"/>
      <c r="J914"/>
      <c r="K914"/>
      <c r="L914"/>
      <c r="M914"/>
      <c r="N914"/>
      <c r="O914"/>
    </row>
    <row r="915" spans="2:15" x14ac:dyDescent="0.25">
      <c r="B915"/>
      <c r="C915"/>
      <c r="D915"/>
      <c r="E915"/>
      <c r="F915"/>
      <c r="G915"/>
      <c r="H915"/>
      <c r="I915"/>
      <c r="J915"/>
      <c r="K915"/>
      <c r="L915"/>
      <c r="M915"/>
      <c r="N915"/>
      <c r="O915"/>
    </row>
    <row r="916" spans="2:15" x14ac:dyDescent="0.25">
      <c r="B916"/>
      <c r="C916"/>
      <c r="D916"/>
      <c r="E916"/>
      <c r="F916"/>
      <c r="G916"/>
      <c r="H916"/>
      <c r="I916"/>
      <c r="J916"/>
      <c r="K916"/>
      <c r="L916"/>
      <c r="M916"/>
      <c r="N916"/>
      <c r="O916"/>
    </row>
    <row r="917" spans="2:15" x14ac:dyDescent="0.25">
      <c r="B917"/>
      <c r="C917"/>
      <c r="D917"/>
      <c r="E917"/>
      <c r="F917"/>
      <c r="G917"/>
      <c r="H917"/>
      <c r="I917"/>
      <c r="J917"/>
      <c r="K917"/>
      <c r="L917"/>
      <c r="M917"/>
      <c r="N917"/>
      <c r="O917"/>
    </row>
    <row r="918" spans="2:15" x14ac:dyDescent="0.25">
      <c r="B918"/>
      <c r="C918"/>
      <c r="D918"/>
      <c r="E918"/>
      <c r="F918"/>
      <c r="G918"/>
      <c r="H918"/>
      <c r="I918"/>
      <c r="J918"/>
      <c r="K918"/>
      <c r="L918"/>
      <c r="M918"/>
      <c r="N918"/>
      <c r="O918"/>
    </row>
    <row r="919" spans="2:15" x14ac:dyDescent="0.25">
      <c r="B919"/>
      <c r="C919"/>
      <c r="D919"/>
      <c r="E919"/>
      <c r="F919"/>
      <c r="G919"/>
      <c r="H919"/>
      <c r="I919"/>
      <c r="J919"/>
      <c r="K919"/>
      <c r="L919"/>
      <c r="M919"/>
      <c r="N919"/>
      <c r="O919"/>
    </row>
    <row r="920" spans="2:15" x14ac:dyDescent="0.25">
      <c r="B920"/>
      <c r="C920"/>
      <c r="D920"/>
      <c r="E920"/>
      <c r="F920"/>
      <c r="G920"/>
      <c r="H920"/>
      <c r="I920"/>
      <c r="J920"/>
      <c r="K920"/>
      <c r="L920"/>
      <c r="M920"/>
      <c r="N920"/>
      <c r="O920"/>
    </row>
    <row r="921" spans="2:15" x14ac:dyDescent="0.25">
      <c r="B921"/>
      <c r="C921"/>
      <c r="D921"/>
      <c r="E921"/>
      <c r="F921"/>
      <c r="G921"/>
      <c r="H921"/>
      <c r="I921"/>
      <c r="J921"/>
      <c r="K921"/>
      <c r="L921"/>
      <c r="M921"/>
      <c r="N921"/>
      <c r="O921"/>
    </row>
    <row r="922" spans="2:15" x14ac:dyDescent="0.25">
      <c r="B922"/>
      <c r="C922"/>
      <c r="D922"/>
      <c r="E922"/>
      <c r="F922"/>
      <c r="G922"/>
      <c r="H922"/>
      <c r="I922"/>
      <c r="J922"/>
      <c r="K922"/>
      <c r="L922"/>
      <c r="M922"/>
      <c r="N922"/>
      <c r="O922"/>
    </row>
    <row r="923" spans="2:15" x14ac:dyDescent="0.25">
      <c r="B923"/>
      <c r="C923"/>
      <c r="D923"/>
      <c r="E923"/>
      <c r="F923"/>
      <c r="G923"/>
      <c r="H923"/>
      <c r="I923"/>
      <c r="J923"/>
      <c r="K923"/>
      <c r="L923"/>
      <c r="M923"/>
      <c r="N923"/>
      <c r="O923"/>
    </row>
    <row r="924" spans="2:15" x14ac:dyDescent="0.25">
      <c r="B924"/>
      <c r="C924"/>
      <c r="D924"/>
      <c r="E924"/>
      <c r="F924"/>
      <c r="G924"/>
      <c r="H924"/>
      <c r="I924"/>
      <c r="J924"/>
      <c r="K924"/>
      <c r="L924"/>
      <c r="M924"/>
      <c r="N924"/>
      <c r="O924"/>
    </row>
    <row r="925" spans="2:15" x14ac:dyDescent="0.25">
      <c r="B925"/>
      <c r="C925"/>
      <c r="D925"/>
      <c r="E925"/>
      <c r="F925"/>
      <c r="G925"/>
      <c r="H925"/>
      <c r="I925"/>
      <c r="J925"/>
      <c r="K925"/>
      <c r="L925"/>
      <c r="M925"/>
      <c r="N925"/>
      <c r="O925"/>
    </row>
    <row r="926" spans="2:15" x14ac:dyDescent="0.25">
      <c r="B926"/>
      <c r="C926"/>
      <c r="D926"/>
      <c r="E926"/>
      <c r="F926"/>
      <c r="G926"/>
      <c r="H926"/>
      <c r="I926"/>
      <c r="J926"/>
      <c r="K926"/>
      <c r="L926"/>
      <c r="M926"/>
      <c r="N926"/>
      <c r="O926"/>
    </row>
    <row r="927" spans="2:15" x14ac:dyDescent="0.25">
      <c r="B927"/>
      <c r="C927"/>
      <c r="D927"/>
      <c r="E927"/>
      <c r="F927"/>
      <c r="G927"/>
      <c r="H927"/>
      <c r="I927"/>
      <c r="J927"/>
      <c r="K927"/>
      <c r="L927"/>
      <c r="M927"/>
      <c r="N927"/>
      <c r="O927"/>
    </row>
    <row r="928" spans="2:15" x14ac:dyDescent="0.25">
      <c r="B928"/>
      <c r="C928"/>
      <c r="D928"/>
      <c r="E928"/>
      <c r="F928"/>
      <c r="G928"/>
      <c r="H928"/>
      <c r="I928"/>
      <c r="J928"/>
      <c r="K928"/>
      <c r="L928"/>
      <c r="M928"/>
      <c r="N928"/>
      <c r="O928"/>
    </row>
    <row r="929" spans="2:15" x14ac:dyDescent="0.25">
      <c r="B929"/>
      <c r="C929"/>
      <c r="D929"/>
      <c r="E929"/>
      <c r="F929"/>
      <c r="G929"/>
      <c r="H929"/>
      <c r="I929"/>
      <c r="J929"/>
      <c r="K929"/>
      <c r="L929"/>
      <c r="M929"/>
      <c r="N929"/>
      <c r="O929"/>
    </row>
    <row r="930" spans="2:15" x14ac:dyDescent="0.25">
      <c r="B930"/>
      <c r="C930"/>
      <c r="D930"/>
      <c r="E930"/>
      <c r="F930"/>
      <c r="G930"/>
      <c r="H930"/>
      <c r="I930"/>
      <c r="J930"/>
      <c r="K930"/>
      <c r="L930"/>
      <c r="M930"/>
      <c r="N930"/>
      <c r="O930"/>
    </row>
    <row r="931" spans="2:15" x14ac:dyDescent="0.25">
      <c r="B931"/>
      <c r="C931"/>
      <c r="D931"/>
      <c r="E931"/>
      <c r="F931"/>
      <c r="G931"/>
      <c r="H931"/>
      <c r="I931"/>
      <c r="J931"/>
      <c r="K931"/>
      <c r="L931"/>
      <c r="M931"/>
      <c r="N931"/>
      <c r="O931"/>
    </row>
    <row r="932" spans="2:15" x14ac:dyDescent="0.25">
      <c r="B932"/>
      <c r="C932"/>
      <c r="D932"/>
      <c r="E932"/>
      <c r="F932"/>
      <c r="G932"/>
      <c r="H932"/>
      <c r="I932"/>
      <c r="J932"/>
      <c r="K932"/>
      <c r="L932"/>
      <c r="M932"/>
      <c r="N932"/>
      <c r="O932"/>
    </row>
    <row r="933" spans="2:15" x14ac:dyDescent="0.25">
      <c r="B933"/>
      <c r="C933"/>
      <c r="D933"/>
      <c r="E933"/>
      <c r="F933"/>
      <c r="G933"/>
      <c r="H933"/>
      <c r="I933"/>
      <c r="J933"/>
      <c r="K933"/>
      <c r="L933"/>
      <c r="M933"/>
      <c r="N933"/>
      <c r="O933"/>
    </row>
    <row r="934" spans="2:15" x14ac:dyDescent="0.25">
      <c r="B934"/>
      <c r="C934"/>
      <c r="D934"/>
      <c r="E934"/>
      <c r="F934"/>
      <c r="G934"/>
      <c r="H934"/>
      <c r="I934"/>
      <c r="J934"/>
      <c r="K934"/>
      <c r="L934"/>
      <c r="M934"/>
      <c r="N934"/>
      <c r="O934"/>
    </row>
    <row r="935" spans="2:15" x14ac:dyDescent="0.25">
      <c r="B935"/>
      <c r="C935"/>
      <c r="D935"/>
      <c r="E935"/>
      <c r="F935"/>
      <c r="G935"/>
      <c r="H935"/>
      <c r="I935"/>
      <c r="J935"/>
      <c r="K935"/>
      <c r="L935"/>
      <c r="M935"/>
      <c r="N935"/>
      <c r="O935"/>
    </row>
    <row r="936" spans="2:15" x14ac:dyDescent="0.25">
      <c r="B936"/>
      <c r="C936"/>
      <c r="D936"/>
      <c r="E936"/>
      <c r="F936"/>
      <c r="G936"/>
      <c r="H936"/>
      <c r="I936"/>
      <c r="J936"/>
      <c r="K936"/>
      <c r="L936"/>
      <c r="M936"/>
      <c r="N936"/>
      <c r="O936"/>
    </row>
    <row r="937" spans="2:15" x14ac:dyDescent="0.25">
      <c r="B937"/>
      <c r="C937"/>
      <c r="D937"/>
      <c r="E937"/>
      <c r="F937"/>
      <c r="G937"/>
      <c r="H937"/>
      <c r="I937"/>
      <c r="J937"/>
      <c r="K937"/>
      <c r="L937"/>
      <c r="M937"/>
      <c r="N937"/>
      <c r="O937"/>
    </row>
    <row r="938" spans="2:15" x14ac:dyDescent="0.25">
      <c r="B938"/>
      <c r="C938"/>
      <c r="D938"/>
      <c r="E938"/>
      <c r="F938"/>
      <c r="G938"/>
      <c r="H938"/>
      <c r="I938"/>
      <c r="J938"/>
      <c r="K938"/>
      <c r="L938"/>
      <c r="M938"/>
      <c r="N938"/>
      <c r="O938"/>
    </row>
    <row r="939" spans="2:15" x14ac:dyDescent="0.25">
      <c r="B939"/>
      <c r="C939"/>
      <c r="D939"/>
      <c r="E939"/>
      <c r="F939"/>
      <c r="G939"/>
      <c r="H939"/>
      <c r="I939"/>
      <c r="J939"/>
      <c r="K939"/>
      <c r="L939"/>
      <c r="M939"/>
      <c r="N939"/>
      <c r="O939"/>
    </row>
    <row r="940" spans="2:15" x14ac:dyDescent="0.25">
      <c r="B940"/>
      <c r="C940"/>
      <c r="D940"/>
      <c r="E940"/>
      <c r="F940"/>
      <c r="G940"/>
      <c r="H940"/>
      <c r="I940"/>
      <c r="J940"/>
      <c r="K940"/>
      <c r="L940"/>
      <c r="M940"/>
      <c r="N940"/>
      <c r="O940"/>
    </row>
    <row r="941" spans="2:15" x14ac:dyDescent="0.25">
      <c r="B941"/>
      <c r="C941"/>
      <c r="D941"/>
      <c r="E941"/>
      <c r="F941"/>
      <c r="G941"/>
      <c r="H941"/>
      <c r="I941"/>
      <c r="J941"/>
      <c r="K941"/>
      <c r="L941"/>
      <c r="M941"/>
      <c r="N941"/>
      <c r="O941"/>
    </row>
    <row r="942" spans="2:15" x14ac:dyDescent="0.25">
      <c r="B942"/>
      <c r="C942"/>
      <c r="D942"/>
      <c r="E942"/>
      <c r="F942"/>
      <c r="G942"/>
      <c r="H942"/>
      <c r="I942"/>
      <c r="J942"/>
      <c r="K942"/>
      <c r="L942"/>
      <c r="M942"/>
      <c r="N942"/>
      <c r="O942"/>
    </row>
    <row r="943" spans="2:15" x14ac:dyDescent="0.25">
      <c r="B943"/>
      <c r="C943"/>
      <c r="D943"/>
      <c r="E943"/>
      <c r="F943"/>
      <c r="G943"/>
      <c r="H943"/>
      <c r="I943"/>
      <c r="J943"/>
      <c r="K943"/>
      <c r="L943"/>
      <c r="M943"/>
      <c r="N943"/>
      <c r="O943"/>
    </row>
    <row r="944" spans="2:15" x14ac:dyDescent="0.25">
      <c r="B944"/>
      <c r="C944"/>
      <c r="D944"/>
      <c r="E944"/>
      <c r="F944"/>
      <c r="G944"/>
      <c r="H944"/>
      <c r="I944"/>
      <c r="J944"/>
      <c r="K944"/>
      <c r="L944"/>
      <c r="M944"/>
      <c r="N944"/>
      <c r="O944"/>
    </row>
    <row r="945" spans="2:15" x14ac:dyDescent="0.25">
      <c r="B945"/>
      <c r="C945"/>
      <c r="D945"/>
      <c r="E945"/>
      <c r="F945"/>
      <c r="G945"/>
      <c r="H945"/>
      <c r="I945"/>
      <c r="J945"/>
      <c r="K945"/>
      <c r="L945"/>
      <c r="M945"/>
      <c r="N945"/>
      <c r="O945"/>
    </row>
    <row r="946" spans="2:15" x14ac:dyDescent="0.25">
      <c r="B946"/>
      <c r="C946"/>
      <c r="D946"/>
      <c r="E946"/>
      <c r="F946"/>
      <c r="G946"/>
      <c r="H946"/>
      <c r="I946"/>
      <c r="J946"/>
      <c r="K946"/>
      <c r="L946"/>
      <c r="M946"/>
      <c r="N946"/>
      <c r="O946"/>
    </row>
    <row r="947" spans="2:15" x14ac:dyDescent="0.25">
      <c r="B947"/>
      <c r="C947"/>
      <c r="D947"/>
      <c r="E947"/>
      <c r="F947"/>
      <c r="G947"/>
      <c r="H947"/>
      <c r="I947"/>
      <c r="J947"/>
      <c r="K947"/>
      <c r="L947"/>
      <c r="M947"/>
      <c r="N947"/>
      <c r="O947"/>
    </row>
    <row r="948" spans="2:15" x14ac:dyDescent="0.25">
      <c r="B948"/>
      <c r="C948"/>
      <c r="D948"/>
      <c r="E948"/>
      <c r="F948"/>
      <c r="G948"/>
      <c r="H948"/>
      <c r="I948"/>
      <c r="J948"/>
      <c r="K948"/>
      <c r="L948"/>
      <c r="M948"/>
      <c r="N948"/>
      <c r="O948"/>
    </row>
    <row r="949" spans="2:15" x14ac:dyDescent="0.25">
      <c r="B949"/>
      <c r="C949"/>
      <c r="D949"/>
      <c r="E949"/>
      <c r="F949"/>
      <c r="G949"/>
      <c r="H949"/>
      <c r="I949"/>
      <c r="J949"/>
      <c r="K949"/>
      <c r="L949"/>
      <c r="M949"/>
      <c r="N949"/>
      <c r="O949"/>
    </row>
    <row r="950" spans="2:15" x14ac:dyDescent="0.25">
      <c r="B950"/>
      <c r="C950"/>
      <c r="D950"/>
      <c r="E950"/>
      <c r="F950"/>
      <c r="G950"/>
      <c r="H950"/>
      <c r="I950"/>
      <c r="J950"/>
      <c r="K950"/>
      <c r="L950"/>
      <c r="M950"/>
      <c r="N950"/>
      <c r="O950"/>
    </row>
    <row r="951" spans="2:15" x14ac:dyDescent="0.25">
      <c r="B951"/>
      <c r="C951"/>
      <c r="D951"/>
      <c r="E951"/>
      <c r="F951"/>
      <c r="G951"/>
      <c r="H951"/>
      <c r="I951"/>
      <c r="J951"/>
      <c r="K951"/>
      <c r="L951"/>
      <c r="M951"/>
      <c r="N951"/>
      <c r="O951"/>
    </row>
    <row r="952" spans="2:15" x14ac:dyDescent="0.25">
      <c r="B952"/>
      <c r="C952"/>
      <c r="D952"/>
      <c r="E952"/>
      <c r="F952"/>
      <c r="G952"/>
      <c r="H952"/>
      <c r="I952"/>
      <c r="J952"/>
      <c r="K952"/>
      <c r="L952"/>
      <c r="M952"/>
      <c r="N952"/>
      <c r="O952"/>
    </row>
    <row r="953" spans="2:15" x14ac:dyDescent="0.25">
      <c r="B953"/>
      <c r="C953"/>
      <c r="D953"/>
      <c r="E953"/>
      <c r="F953"/>
      <c r="G953"/>
      <c r="H953"/>
      <c r="I953"/>
      <c r="J953"/>
      <c r="K953"/>
      <c r="L953"/>
      <c r="M953"/>
      <c r="N953"/>
      <c r="O953"/>
    </row>
    <row r="954" spans="2:15" x14ac:dyDescent="0.25">
      <c r="B954"/>
      <c r="C954"/>
      <c r="D954"/>
      <c r="E954"/>
      <c r="F954"/>
      <c r="G954"/>
      <c r="H954"/>
      <c r="I954"/>
      <c r="J954"/>
      <c r="K954"/>
      <c r="L954"/>
      <c r="M954"/>
      <c r="N954"/>
      <c r="O954"/>
    </row>
    <row r="955" spans="2:15" x14ac:dyDescent="0.25">
      <c r="B955"/>
      <c r="C955"/>
      <c r="D955"/>
      <c r="E955"/>
      <c r="F955"/>
      <c r="G955"/>
      <c r="H955"/>
      <c r="I955"/>
      <c r="J955"/>
      <c r="K955"/>
      <c r="L955"/>
      <c r="M955"/>
      <c r="N955"/>
      <c r="O955"/>
    </row>
    <row r="956" spans="2:15" x14ac:dyDescent="0.25">
      <c r="B956"/>
      <c r="C956"/>
      <c r="D956"/>
      <c r="E956"/>
      <c r="F956"/>
      <c r="G956"/>
      <c r="H956"/>
      <c r="I956"/>
      <c r="J956"/>
      <c r="K956"/>
      <c r="L956"/>
      <c r="M956"/>
      <c r="N956"/>
      <c r="O956"/>
    </row>
    <row r="957" spans="2:15" x14ac:dyDescent="0.25">
      <c r="B957"/>
      <c r="C957"/>
      <c r="D957"/>
      <c r="E957"/>
      <c r="F957"/>
      <c r="G957"/>
      <c r="H957"/>
      <c r="I957"/>
      <c r="J957"/>
      <c r="K957"/>
      <c r="L957"/>
      <c r="M957"/>
      <c r="N957"/>
      <c r="O957"/>
    </row>
    <row r="958" spans="2:15" x14ac:dyDescent="0.25">
      <c r="B958"/>
      <c r="C958"/>
      <c r="D958"/>
      <c r="E958"/>
      <c r="F958"/>
      <c r="G958"/>
      <c r="H958"/>
      <c r="I958"/>
      <c r="J958"/>
      <c r="K958"/>
      <c r="L958"/>
      <c r="M958"/>
      <c r="N958"/>
      <c r="O958"/>
    </row>
    <row r="959" spans="2:15" x14ac:dyDescent="0.25">
      <c r="B959"/>
      <c r="C959"/>
      <c r="D959"/>
      <c r="E959"/>
      <c r="F959"/>
      <c r="G959"/>
      <c r="H959"/>
      <c r="I959"/>
      <c r="J959"/>
      <c r="K959"/>
      <c r="L959"/>
      <c r="M959"/>
      <c r="N959"/>
      <c r="O959"/>
    </row>
    <row r="960" spans="2:15" x14ac:dyDescent="0.25">
      <c r="B960"/>
      <c r="C960"/>
      <c r="D960"/>
      <c r="E960"/>
      <c r="F960"/>
      <c r="G960"/>
      <c r="H960"/>
      <c r="I960"/>
      <c r="J960"/>
      <c r="K960"/>
      <c r="L960"/>
      <c r="M960"/>
      <c r="N960"/>
      <c r="O960"/>
    </row>
    <row r="961" spans="2:15" x14ac:dyDescent="0.25">
      <c r="B961"/>
      <c r="C961"/>
      <c r="D961"/>
      <c r="E961"/>
      <c r="F961"/>
      <c r="G961"/>
      <c r="H961"/>
      <c r="I961"/>
      <c r="J961"/>
      <c r="K961"/>
      <c r="L961"/>
      <c r="M961"/>
      <c r="N961"/>
      <c r="O961"/>
    </row>
    <row r="962" spans="2:15" x14ac:dyDescent="0.25">
      <c r="B962"/>
      <c r="C962"/>
      <c r="D962"/>
      <c r="E962"/>
      <c r="F962"/>
      <c r="G962"/>
      <c r="H962"/>
      <c r="I962"/>
      <c r="J962"/>
      <c r="K962"/>
      <c r="L962"/>
      <c r="M962"/>
      <c r="N962"/>
      <c r="O962"/>
    </row>
    <row r="963" spans="2:15" x14ac:dyDescent="0.25">
      <c r="B963"/>
      <c r="C963"/>
      <c r="D963"/>
      <c r="E963"/>
      <c r="F963"/>
      <c r="G963"/>
      <c r="H963"/>
      <c r="I963"/>
      <c r="J963"/>
      <c r="K963"/>
      <c r="L963"/>
      <c r="M963"/>
      <c r="N963"/>
      <c r="O963"/>
    </row>
    <row r="964" spans="2:15" x14ac:dyDescent="0.25">
      <c r="B964"/>
      <c r="C964"/>
      <c r="D964"/>
      <c r="E964"/>
      <c r="F964"/>
      <c r="G964"/>
      <c r="H964"/>
      <c r="I964"/>
      <c r="J964"/>
      <c r="K964"/>
      <c r="L964"/>
      <c r="M964"/>
      <c r="N964"/>
      <c r="O964"/>
    </row>
    <row r="965" spans="2:15" x14ac:dyDescent="0.25">
      <c r="B965"/>
      <c r="C965"/>
      <c r="D965"/>
      <c r="E965"/>
      <c r="F965"/>
      <c r="G965"/>
      <c r="H965"/>
      <c r="I965"/>
      <c r="J965"/>
      <c r="K965"/>
      <c r="L965"/>
      <c r="M965"/>
      <c r="N965"/>
      <c r="O965"/>
    </row>
    <row r="966" spans="2:15" x14ac:dyDescent="0.25">
      <c r="B966"/>
      <c r="C966"/>
      <c r="D966"/>
      <c r="E966"/>
      <c r="F966"/>
      <c r="G966"/>
      <c r="H966"/>
      <c r="I966"/>
      <c r="J966"/>
      <c r="K966"/>
      <c r="L966"/>
      <c r="M966"/>
      <c r="N966"/>
      <c r="O966"/>
    </row>
    <row r="967" spans="2:15" x14ac:dyDescent="0.25">
      <c r="B967"/>
      <c r="C967"/>
      <c r="D967"/>
      <c r="E967"/>
      <c r="F967"/>
      <c r="G967"/>
      <c r="H967"/>
      <c r="I967"/>
      <c r="J967"/>
      <c r="K967"/>
      <c r="L967"/>
      <c r="M967"/>
      <c r="N967"/>
      <c r="O967"/>
    </row>
    <row r="968" spans="2:15" x14ac:dyDescent="0.25">
      <c r="B968"/>
      <c r="C968"/>
      <c r="D968"/>
      <c r="E968"/>
      <c r="F968"/>
      <c r="G968"/>
      <c r="H968"/>
      <c r="I968"/>
      <c r="J968"/>
      <c r="K968"/>
      <c r="L968"/>
      <c r="M968"/>
      <c r="N968"/>
      <c r="O968"/>
    </row>
    <row r="969" spans="2:15" x14ac:dyDescent="0.25">
      <c r="B969"/>
      <c r="C969"/>
      <c r="D969"/>
      <c r="E969"/>
      <c r="F969"/>
      <c r="G969"/>
      <c r="H969"/>
      <c r="I969"/>
      <c r="J969"/>
      <c r="K969"/>
      <c r="L969"/>
      <c r="M969"/>
      <c r="N969"/>
      <c r="O969"/>
    </row>
    <row r="970" spans="2:15" x14ac:dyDescent="0.25">
      <c r="B970"/>
      <c r="C970"/>
      <c r="D970"/>
      <c r="E970"/>
      <c r="F970"/>
      <c r="G970"/>
      <c r="H970"/>
      <c r="I970"/>
      <c r="J970"/>
      <c r="K970"/>
      <c r="L970"/>
      <c r="M970"/>
      <c r="N970"/>
      <c r="O970"/>
    </row>
    <row r="971" spans="2:15" x14ac:dyDescent="0.25">
      <c r="B971"/>
      <c r="C971"/>
      <c r="D971"/>
      <c r="E971"/>
      <c r="F971"/>
      <c r="G971"/>
      <c r="H971"/>
      <c r="I971"/>
      <c r="J971"/>
      <c r="K971"/>
      <c r="L971"/>
      <c r="M971"/>
      <c r="N971"/>
      <c r="O971"/>
    </row>
    <row r="972" spans="2:15" x14ac:dyDescent="0.25">
      <c r="B972"/>
      <c r="C972"/>
      <c r="D972"/>
      <c r="E972"/>
      <c r="F972"/>
      <c r="G972"/>
      <c r="H972"/>
      <c r="I972"/>
      <c r="J972"/>
      <c r="K972"/>
      <c r="L972"/>
      <c r="M972"/>
      <c r="N972"/>
      <c r="O972"/>
    </row>
    <row r="973" spans="2:15" x14ac:dyDescent="0.25">
      <c r="B973"/>
      <c r="C973"/>
      <c r="D973"/>
      <c r="E973"/>
      <c r="F973"/>
      <c r="G973"/>
      <c r="H973"/>
      <c r="I973"/>
      <c r="J973"/>
      <c r="K973"/>
      <c r="L973"/>
      <c r="M973"/>
      <c r="N973"/>
      <c r="O973"/>
    </row>
    <row r="974" spans="2:15" x14ac:dyDescent="0.25">
      <c r="B974"/>
      <c r="C974"/>
      <c r="D974"/>
      <c r="E974"/>
      <c r="F974"/>
      <c r="G974"/>
      <c r="H974"/>
      <c r="I974"/>
      <c r="J974"/>
      <c r="K974"/>
      <c r="L974"/>
      <c r="M974"/>
      <c r="N974"/>
      <c r="O974"/>
    </row>
    <row r="975" spans="2:15" x14ac:dyDescent="0.25">
      <c r="B975"/>
      <c r="C975"/>
      <c r="D975"/>
      <c r="E975"/>
      <c r="F975"/>
      <c r="G975"/>
      <c r="H975"/>
      <c r="I975"/>
      <c r="J975"/>
      <c r="K975"/>
      <c r="L975"/>
      <c r="M975"/>
      <c r="N975"/>
      <c r="O975"/>
    </row>
    <row r="976" spans="2:15" x14ac:dyDescent="0.25">
      <c r="B976"/>
      <c r="C976"/>
      <c r="D976"/>
      <c r="E976"/>
      <c r="F976"/>
      <c r="G976"/>
      <c r="H976"/>
      <c r="I976"/>
      <c r="J976"/>
      <c r="K976"/>
      <c r="L976"/>
      <c r="M976"/>
      <c r="N976"/>
      <c r="O976"/>
    </row>
    <row r="977" spans="2:15" x14ac:dyDescent="0.25">
      <c r="B977"/>
      <c r="C977"/>
      <c r="D977"/>
      <c r="E977"/>
      <c r="F977"/>
      <c r="G977"/>
      <c r="H977"/>
      <c r="I977"/>
      <c r="J977"/>
      <c r="K977"/>
      <c r="L977"/>
      <c r="M977"/>
      <c r="N977"/>
      <c r="O977"/>
    </row>
    <row r="978" spans="2:15" x14ac:dyDescent="0.25">
      <c r="B978"/>
      <c r="C978"/>
      <c r="D978"/>
      <c r="E978"/>
      <c r="F978"/>
      <c r="G978"/>
      <c r="H978"/>
      <c r="I978"/>
      <c r="J978"/>
      <c r="K978"/>
      <c r="L978"/>
      <c r="M978"/>
      <c r="N978"/>
      <c r="O978"/>
    </row>
    <row r="979" spans="2:15" x14ac:dyDescent="0.25">
      <c r="B979"/>
      <c r="C979"/>
      <c r="D979"/>
      <c r="E979"/>
      <c r="F979"/>
      <c r="G979"/>
      <c r="H979"/>
      <c r="I979"/>
      <c r="J979"/>
      <c r="K979"/>
      <c r="L979"/>
      <c r="M979"/>
      <c r="N979"/>
      <c r="O979"/>
    </row>
    <row r="980" spans="2:15" x14ac:dyDescent="0.25">
      <c r="B980"/>
      <c r="C980"/>
      <c r="D980"/>
      <c r="E980"/>
      <c r="F980"/>
      <c r="G980"/>
      <c r="H980"/>
      <c r="I980"/>
      <c r="J980"/>
      <c r="K980"/>
      <c r="L980"/>
      <c r="M980"/>
      <c r="N980"/>
      <c r="O980"/>
    </row>
    <row r="981" spans="2:15" x14ac:dyDescent="0.25">
      <c r="B981"/>
      <c r="C981"/>
      <c r="D981"/>
      <c r="E981"/>
      <c r="F981"/>
      <c r="G981"/>
      <c r="H981"/>
      <c r="I981"/>
      <c r="J981"/>
      <c r="K981"/>
      <c r="L981"/>
      <c r="M981"/>
      <c r="N981"/>
      <c r="O981"/>
    </row>
    <row r="982" spans="2:15" x14ac:dyDescent="0.25">
      <c r="B982"/>
      <c r="C982"/>
      <c r="D982"/>
      <c r="E982"/>
      <c r="F982"/>
      <c r="G982"/>
      <c r="H982"/>
      <c r="I982"/>
      <c r="J982"/>
      <c r="K982"/>
      <c r="L982"/>
      <c r="M982"/>
      <c r="N982"/>
      <c r="O982"/>
    </row>
    <row r="983" spans="2:15" x14ac:dyDescent="0.25">
      <c r="B983"/>
      <c r="C983"/>
      <c r="D983"/>
      <c r="E983"/>
      <c r="F983"/>
      <c r="G983"/>
      <c r="H983"/>
      <c r="I983"/>
      <c r="J983"/>
      <c r="K983"/>
      <c r="L983"/>
      <c r="M983"/>
      <c r="N983"/>
      <c r="O983"/>
    </row>
    <row r="984" spans="2:15" x14ac:dyDescent="0.25">
      <c r="B984"/>
      <c r="C984"/>
      <c r="D984"/>
      <c r="E984"/>
      <c r="F984"/>
      <c r="G984"/>
      <c r="H984"/>
      <c r="I984"/>
      <c r="J984"/>
      <c r="K984"/>
      <c r="L984"/>
      <c r="M984"/>
      <c r="N984"/>
      <c r="O984"/>
    </row>
    <row r="985" spans="2:15" x14ac:dyDescent="0.25">
      <c r="B985"/>
      <c r="C985"/>
      <c r="D985"/>
      <c r="E985"/>
      <c r="F985"/>
      <c r="G985"/>
      <c r="H985"/>
      <c r="I985"/>
      <c r="J985"/>
      <c r="K985"/>
      <c r="L985"/>
      <c r="M985"/>
      <c r="N985"/>
      <c r="O985"/>
    </row>
    <row r="986" spans="2:15" x14ac:dyDescent="0.25">
      <c r="B986"/>
      <c r="C986"/>
      <c r="D986"/>
      <c r="E986"/>
      <c r="F986"/>
      <c r="G986"/>
      <c r="H986"/>
      <c r="I986"/>
      <c r="J986"/>
      <c r="K986"/>
      <c r="L986"/>
      <c r="M986"/>
      <c r="N986"/>
      <c r="O986"/>
    </row>
    <row r="987" spans="2:15" x14ac:dyDescent="0.25">
      <c r="B987"/>
      <c r="C987"/>
      <c r="D987"/>
      <c r="E987"/>
      <c r="F987"/>
      <c r="G987"/>
      <c r="H987"/>
      <c r="I987"/>
      <c r="J987"/>
      <c r="K987"/>
      <c r="L987"/>
      <c r="M987"/>
      <c r="N987"/>
      <c r="O987"/>
    </row>
    <row r="988" spans="2:15" x14ac:dyDescent="0.25">
      <c r="B988"/>
      <c r="C988"/>
      <c r="D988"/>
      <c r="E988"/>
      <c r="F988"/>
      <c r="G988"/>
      <c r="H988"/>
      <c r="I988"/>
      <c r="J988"/>
      <c r="K988"/>
      <c r="L988"/>
      <c r="M988"/>
      <c r="N988"/>
      <c r="O988"/>
    </row>
    <row r="989" spans="2:15" x14ac:dyDescent="0.25">
      <c r="B989"/>
      <c r="C989"/>
      <c r="D989"/>
      <c r="E989"/>
      <c r="F989"/>
      <c r="G989"/>
      <c r="H989"/>
      <c r="I989"/>
      <c r="J989"/>
      <c r="K989"/>
      <c r="L989"/>
      <c r="M989"/>
      <c r="N989"/>
      <c r="O989"/>
    </row>
    <row r="990" spans="2:15" x14ac:dyDescent="0.25">
      <c r="B990"/>
      <c r="C990"/>
      <c r="D990"/>
      <c r="E990"/>
      <c r="F990"/>
      <c r="G990"/>
      <c r="H990"/>
      <c r="I990"/>
      <c r="J990"/>
      <c r="K990"/>
      <c r="L990"/>
      <c r="M990"/>
      <c r="N990"/>
      <c r="O990"/>
    </row>
    <row r="991" spans="2:15" x14ac:dyDescent="0.25">
      <c r="B991"/>
      <c r="C991"/>
      <c r="D991"/>
      <c r="E991"/>
      <c r="F991"/>
      <c r="G991"/>
      <c r="H991"/>
      <c r="I991"/>
      <c r="J991"/>
      <c r="K991"/>
      <c r="L991"/>
      <c r="M991"/>
      <c r="N991"/>
      <c r="O991"/>
    </row>
    <row r="992" spans="2:15" x14ac:dyDescent="0.25">
      <c r="B992"/>
      <c r="C992"/>
      <c r="D992"/>
      <c r="E992"/>
      <c r="F992"/>
      <c r="G992"/>
      <c r="H992"/>
      <c r="I992"/>
      <c r="J992"/>
      <c r="K992"/>
      <c r="L992"/>
      <c r="M992"/>
      <c r="N992"/>
      <c r="O992"/>
    </row>
    <row r="993" spans="2:15" x14ac:dyDescent="0.25">
      <c r="B993"/>
      <c r="C993"/>
      <c r="D993"/>
      <c r="E993"/>
      <c r="F993"/>
      <c r="G993"/>
      <c r="H993"/>
      <c r="I993"/>
      <c r="J993"/>
      <c r="K993"/>
      <c r="L993"/>
      <c r="M993"/>
      <c r="N993"/>
      <c r="O993"/>
    </row>
    <row r="994" spans="2:15" x14ac:dyDescent="0.25">
      <c r="B994"/>
      <c r="C994"/>
      <c r="D994"/>
      <c r="E994"/>
      <c r="F994"/>
      <c r="G994"/>
      <c r="H994"/>
      <c r="I994"/>
      <c r="J994"/>
      <c r="K994"/>
      <c r="L994"/>
      <c r="M994"/>
      <c r="N994"/>
      <c r="O994"/>
    </row>
    <row r="995" spans="2:15" x14ac:dyDescent="0.25">
      <c r="B995"/>
      <c r="C995"/>
      <c r="D995"/>
      <c r="E995"/>
      <c r="F995"/>
      <c r="G995"/>
      <c r="H995"/>
      <c r="I995"/>
      <c r="J995"/>
      <c r="K995"/>
      <c r="L995"/>
      <c r="M995"/>
      <c r="N995"/>
      <c r="O995"/>
    </row>
    <row r="996" spans="2:15" x14ac:dyDescent="0.25">
      <c r="B996"/>
      <c r="C996"/>
      <c r="D996"/>
      <c r="E996"/>
      <c r="F996"/>
      <c r="G996"/>
      <c r="H996"/>
      <c r="I996"/>
      <c r="J996"/>
      <c r="K996"/>
      <c r="L996"/>
      <c r="M996"/>
      <c r="N996"/>
      <c r="O996"/>
    </row>
    <row r="997" spans="2:15" x14ac:dyDescent="0.25">
      <c r="B997"/>
      <c r="C997"/>
      <c r="D997"/>
      <c r="E997"/>
      <c r="F997"/>
      <c r="G997"/>
      <c r="H997"/>
      <c r="I997"/>
      <c r="J997"/>
      <c r="K997"/>
      <c r="L997"/>
      <c r="M997"/>
      <c r="N997"/>
      <c r="O997"/>
    </row>
    <row r="998" spans="2:15" x14ac:dyDescent="0.25">
      <c r="B998"/>
      <c r="C998"/>
      <c r="D998"/>
      <c r="E998"/>
      <c r="F998"/>
      <c r="G998"/>
      <c r="H998"/>
      <c r="I998"/>
      <c r="J998"/>
      <c r="K998"/>
      <c r="L998"/>
      <c r="M998"/>
      <c r="N998"/>
      <c r="O998"/>
    </row>
    <row r="999" spans="2:15" x14ac:dyDescent="0.25">
      <c r="B999"/>
      <c r="C999"/>
      <c r="D999"/>
      <c r="E999"/>
      <c r="F999"/>
      <c r="G999"/>
      <c r="H999"/>
      <c r="I999"/>
      <c r="J999"/>
      <c r="K999"/>
      <c r="L999"/>
      <c r="M999"/>
      <c r="N999"/>
      <c r="O999"/>
    </row>
    <row r="1000" spans="2:15" x14ac:dyDescent="0.25">
      <c r="B1000"/>
      <c r="C1000"/>
      <c r="D1000"/>
      <c r="E1000"/>
      <c r="F1000"/>
      <c r="G1000"/>
      <c r="H1000"/>
      <c r="I1000"/>
      <c r="J1000"/>
      <c r="K1000"/>
      <c r="L1000"/>
      <c r="M1000"/>
      <c r="N1000"/>
      <c r="O1000"/>
    </row>
    <row r="1001" spans="2:15" x14ac:dyDescent="0.25">
      <c r="B1001"/>
      <c r="C1001"/>
      <c r="D1001"/>
      <c r="E1001"/>
      <c r="F1001"/>
      <c r="G1001"/>
      <c r="H1001"/>
      <c r="I1001"/>
      <c r="J1001"/>
      <c r="K1001"/>
      <c r="L1001"/>
      <c r="M1001"/>
      <c r="N1001"/>
      <c r="O1001"/>
    </row>
    <row r="1002" spans="2:15" x14ac:dyDescent="0.25">
      <c r="B1002"/>
      <c r="C1002"/>
      <c r="D1002"/>
      <c r="E1002"/>
      <c r="F1002"/>
      <c r="G1002"/>
      <c r="H1002"/>
      <c r="I1002"/>
      <c r="J1002"/>
      <c r="K1002"/>
      <c r="L1002"/>
      <c r="M1002"/>
      <c r="N1002"/>
      <c r="O1002"/>
    </row>
    <row r="1003" spans="2:15" x14ac:dyDescent="0.25">
      <c r="B1003"/>
      <c r="C1003"/>
      <c r="D1003"/>
      <c r="E1003"/>
      <c r="F1003"/>
      <c r="G1003"/>
      <c r="H1003"/>
      <c r="I1003"/>
      <c r="J1003"/>
      <c r="K1003"/>
      <c r="L1003"/>
      <c r="M1003"/>
      <c r="N1003"/>
      <c r="O1003"/>
    </row>
    <row r="1004" spans="2:15" x14ac:dyDescent="0.25">
      <c r="B1004"/>
      <c r="C1004"/>
      <c r="D1004"/>
      <c r="E1004"/>
      <c r="F1004"/>
      <c r="G1004"/>
      <c r="H1004"/>
      <c r="I1004"/>
      <c r="J1004"/>
      <c r="K1004"/>
      <c r="L1004"/>
      <c r="M1004"/>
      <c r="N1004"/>
      <c r="O1004"/>
    </row>
    <row r="1005" spans="2:15" x14ac:dyDescent="0.25">
      <c r="B1005"/>
      <c r="C1005"/>
      <c r="D1005"/>
      <c r="E1005"/>
      <c r="F1005"/>
      <c r="G1005"/>
      <c r="H1005"/>
      <c r="I1005"/>
      <c r="J1005"/>
      <c r="K1005"/>
      <c r="L1005"/>
      <c r="M1005"/>
      <c r="N1005"/>
      <c r="O1005"/>
    </row>
    <row r="1006" spans="2:15" x14ac:dyDescent="0.25">
      <c r="B1006"/>
      <c r="C1006"/>
      <c r="D1006"/>
      <c r="E1006"/>
      <c r="F1006"/>
      <c r="G1006"/>
      <c r="H1006"/>
      <c r="I1006"/>
      <c r="J1006"/>
      <c r="K1006"/>
      <c r="L1006"/>
      <c r="M1006"/>
      <c r="N1006"/>
      <c r="O1006"/>
    </row>
    <row r="1007" spans="2:15" x14ac:dyDescent="0.25">
      <c r="B1007"/>
      <c r="C1007"/>
      <c r="D1007"/>
      <c r="E1007"/>
      <c r="F1007"/>
      <c r="G1007"/>
      <c r="H1007"/>
      <c r="I1007"/>
      <c r="J1007"/>
      <c r="K1007"/>
      <c r="L1007"/>
      <c r="M1007"/>
      <c r="N1007"/>
      <c r="O1007"/>
    </row>
    <row r="1008" spans="2:15" x14ac:dyDescent="0.25">
      <c r="B1008"/>
      <c r="C1008"/>
      <c r="D1008"/>
      <c r="E1008"/>
      <c r="F1008"/>
      <c r="G1008"/>
      <c r="H1008"/>
      <c r="I1008"/>
      <c r="J1008"/>
      <c r="K1008"/>
      <c r="L1008"/>
      <c r="M1008"/>
      <c r="N1008"/>
      <c r="O1008"/>
    </row>
    <row r="1009" spans="2:15" x14ac:dyDescent="0.25">
      <c r="B1009"/>
      <c r="C1009"/>
      <c r="D1009"/>
      <c r="E1009"/>
      <c r="F1009"/>
      <c r="G1009"/>
      <c r="H1009"/>
      <c r="I1009"/>
      <c r="J1009"/>
      <c r="K1009"/>
      <c r="L1009"/>
      <c r="M1009"/>
      <c r="N1009"/>
      <c r="O1009"/>
    </row>
    <row r="1010" spans="2:15" x14ac:dyDescent="0.25">
      <c r="B1010"/>
      <c r="C1010"/>
      <c r="D1010"/>
      <c r="E1010"/>
      <c r="F1010"/>
      <c r="G1010"/>
      <c r="H1010"/>
      <c r="I1010"/>
      <c r="J1010"/>
      <c r="K1010"/>
      <c r="L1010"/>
      <c r="M1010"/>
      <c r="N1010"/>
      <c r="O1010"/>
    </row>
    <row r="1011" spans="2:15" x14ac:dyDescent="0.25">
      <c r="B1011"/>
      <c r="C1011"/>
      <c r="D1011"/>
      <c r="E1011"/>
      <c r="F1011"/>
      <c r="G1011"/>
      <c r="H1011"/>
      <c r="I1011"/>
      <c r="J1011"/>
      <c r="K1011"/>
      <c r="L1011"/>
      <c r="M1011"/>
      <c r="N1011"/>
      <c r="O1011"/>
    </row>
    <row r="1012" spans="2:15" x14ac:dyDescent="0.25">
      <c r="B1012"/>
      <c r="C1012"/>
      <c r="D1012"/>
      <c r="E1012"/>
      <c r="F1012"/>
      <c r="G1012"/>
      <c r="H1012"/>
      <c r="I1012"/>
      <c r="J1012"/>
      <c r="K1012"/>
      <c r="L1012"/>
      <c r="M1012"/>
      <c r="N1012"/>
      <c r="O1012"/>
    </row>
    <row r="1013" spans="2:15" x14ac:dyDescent="0.25">
      <c r="B1013"/>
      <c r="C1013"/>
      <c r="D1013"/>
      <c r="E1013"/>
      <c r="F1013"/>
      <c r="G1013"/>
      <c r="H1013"/>
      <c r="I1013"/>
      <c r="J1013"/>
      <c r="K1013"/>
      <c r="L1013"/>
      <c r="M1013"/>
      <c r="N1013"/>
      <c r="O1013"/>
    </row>
    <row r="1014" spans="2:15" x14ac:dyDescent="0.25">
      <c r="B1014"/>
      <c r="C1014"/>
      <c r="D1014"/>
      <c r="E1014"/>
      <c r="F1014"/>
      <c r="G1014"/>
      <c r="H1014"/>
      <c r="I1014"/>
      <c r="J1014"/>
      <c r="K1014"/>
      <c r="L1014"/>
      <c r="M1014"/>
      <c r="N1014"/>
      <c r="O1014"/>
    </row>
    <row r="1015" spans="2:15" x14ac:dyDescent="0.25">
      <c r="B1015"/>
      <c r="C1015"/>
      <c r="D1015"/>
      <c r="E1015"/>
      <c r="F1015"/>
      <c r="G1015"/>
      <c r="H1015"/>
      <c r="I1015"/>
      <c r="J1015"/>
      <c r="K1015"/>
      <c r="L1015"/>
      <c r="M1015"/>
      <c r="N1015"/>
      <c r="O1015"/>
    </row>
    <row r="1016" spans="2:15" x14ac:dyDescent="0.25">
      <c r="B1016"/>
      <c r="C1016"/>
      <c r="D1016"/>
      <c r="E1016"/>
      <c r="F1016"/>
      <c r="G1016"/>
      <c r="H1016"/>
      <c r="I1016"/>
      <c r="J1016"/>
      <c r="K1016"/>
      <c r="L1016"/>
      <c r="M1016"/>
      <c r="N1016"/>
      <c r="O1016"/>
    </row>
    <row r="1017" spans="2:15" x14ac:dyDescent="0.25">
      <c r="B1017"/>
      <c r="C1017"/>
      <c r="D1017"/>
      <c r="E1017"/>
      <c r="F1017"/>
      <c r="G1017"/>
      <c r="H1017"/>
      <c r="I1017"/>
      <c r="J1017"/>
      <c r="K1017"/>
      <c r="L1017"/>
      <c r="M1017"/>
      <c r="N1017"/>
      <c r="O1017"/>
    </row>
    <row r="1018" spans="2:15" x14ac:dyDescent="0.25">
      <c r="B1018"/>
      <c r="C1018"/>
      <c r="D1018"/>
      <c r="E1018"/>
      <c r="F1018"/>
      <c r="G1018"/>
      <c r="H1018"/>
      <c r="I1018"/>
      <c r="J1018"/>
      <c r="K1018"/>
      <c r="L1018"/>
      <c r="M1018"/>
      <c r="N1018"/>
      <c r="O1018"/>
    </row>
    <row r="1019" spans="2:15" x14ac:dyDescent="0.25">
      <c r="B1019"/>
      <c r="C1019"/>
      <c r="D1019"/>
      <c r="E1019"/>
      <c r="F1019"/>
      <c r="G1019"/>
      <c r="H1019"/>
      <c r="I1019"/>
      <c r="J1019"/>
      <c r="K1019"/>
      <c r="L1019"/>
      <c r="M1019"/>
      <c r="N1019"/>
      <c r="O1019"/>
    </row>
    <row r="1020" spans="2:15" x14ac:dyDescent="0.25">
      <c r="B1020"/>
      <c r="C1020"/>
      <c r="D1020"/>
      <c r="E1020"/>
      <c r="F1020"/>
      <c r="G1020"/>
      <c r="H1020"/>
      <c r="I1020"/>
      <c r="J1020"/>
      <c r="K1020"/>
      <c r="L1020"/>
      <c r="M1020"/>
      <c r="N1020"/>
      <c r="O1020"/>
    </row>
    <row r="1021" spans="2:15" x14ac:dyDescent="0.25">
      <c r="B1021"/>
      <c r="C1021"/>
      <c r="D1021"/>
      <c r="E1021"/>
      <c r="F1021"/>
      <c r="G1021"/>
      <c r="H1021"/>
      <c r="I1021"/>
      <c r="J1021"/>
      <c r="K1021"/>
      <c r="L1021"/>
      <c r="M1021"/>
      <c r="N1021"/>
      <c r="O1021"/>
    </row>
    <row r="1022" spans="2:15" x14ac:dyDescent="0.25">
      <c r="B1022"/>
      <c r="C1022"/>
      <c r="D1022"/>
      <c r="E1022"/>
      <c r="F1022"/>
      <c r="G1022"/>
      <c r="H1022"/>
      <c r="I1022"/>
      <c r="J1022"/>
      <c r="K1022"/>
      <c r="L1022"/>
      <c r="M1022"/>
      <c r="N1022"/>
      <c r="O1022"/>
    </row>
    <row r="1023" spans="2:15" x14ac:dyDescent="0.25">
      <c r="B1023"/>
      <c r="C1023"/>
      <c r="D1023"/>
      <c r="E1023"/>
      <c r="F1023"/>
      <c r="G1023"/>
      <c r="H1023"/>
      <c r="I1023"/>
      <c r="J1023"/>
      <c r="K1023"/>
      <c r="L1023"/>
      <c r="M1023"/>
      <c r="N1023"/>
      <c r="O1023"/>
    </row>
    <row r="1024" spans="2:15" x14ac:dyDescent="0.25">
      <c r="B1024"/>
      <c r="C1024"/>
      <c r="D1024"/>
      <c r="E1024"/>
      <c r="F1024"/>
      <c r="G1024"/>
      <c r="H1024"/>
      <c r="I1024"/>
      <c r="J1024"/>
      <c r="K1024"/>
      <c r="L1024"/>
      <c r="M1024"/>
      <c r="N1024"/>
      <c r="O1024"/>
    </row>
    <row r="1025" spans="2:15" x14ac:dyDescent="0.25">
      <c r="B1025"/>
      <c r="C1025"/>
      <c r="D1025"/>
      <c r="E1025"/>
      <c r="F1025"/>
      <c r="G1025"/>
      <c r="H1025"/>
      <c r="I1025"/>
      <c r="J1025"/>
      <c r="K1025"/>
      <c r="L1025"/>
      <c r="M1025"/>
      <c r="N1025"/>
      <c r="O1025"/>
    </row>
    <row r="1026" spans="2:15" x14ac:dyDescent="0.25">
      <c r="B1026"/>
      <c r="C1026"/>
      <c r="D1026"/>
      <c r="E1026"/>
      <c r="F1026"/>
      <c r="G1026"/>
      <c r="H1026"/>
      <c r="I1026"/>
      <c r="J1026"/>
      <c r="K1026"/>
      <c r="L1026"/>
      <c r="M1026"/>
      <c r="N1026"/>
      <c r="O1026"/>
    </row>
    <row r="1027" spans="2:15" x14ac:dyDescent="0.25">
      <c r="B1027"/>
      <c r="C1027"/>
      <c r="D1027"/>
      <c r="E1027"/>
      <c r="F1027"/>
      <c r="G1027"/>
      <c r="H1027"/>
      <c r="I1027"/>
      <c r="J1027"/>
      <c r="K1027"/>
      <c r="L1027"/>
      <c r="M1027"/>
      <c r="N1027"/>
      <c r="O1027"/>
    </row>
    <row r="1028" spans="2:15" x14ac:dyDescent="0.25">
      <c r="B1028"/>
      <c r="C1028"/>
      <c r="D1028"/>
      <c r="E1028"/>
      <c r="F1028"/>
      <c r="G1028"/>
      <c r="H1028"/>
      <c r="I1028"/>
      <c r="J1028"/>
      <c r="K1028"/>
      <c r="L1028"/>
      <c r="M1028"/>
      <c r="N1028"/>
      <c r="O1028"/>
    </row>
    <row r="1029" spans="2:15" x14ac:dyDescent="0.25">
      <c r="B1029"/>
      <c r="C1029"/>
      <c r="D1029"/>
      <c r="E1029"/>
      <c r="F1029"/>
      <c r="G1029"/>
      <c r="H1029"/>
      <c r="I1029"/>
      <c r="J1029"/>
      <c r="K1029"/>
      <c r="L1029"/>
      <c r="M1029"/>
      <c r="N1029"/>
      <c r="O1029"/>
    </row>
    <row r="1030" spans="2:15" x14ac:dyDescent="0.25">
      <c r="B1030"/>
      <c r="C1030"/>
      <c r="D1030"/>
      <c r="E1030"/>
      <c r="F1030"/>
      <c r="G1030"/>
      <c r="H1030"/>
      <c r="I1030"/>
      <c r="J1030"/>
      <c r="K1030"/>
      <c r="L1030"/>
      <c r="M1030"/>
      <c r="N1030"/>
      <c r="O1030"/>
    </row>
    <row r="1031" spans="2:15" x14ac:dyDescent="0.25">
      <c r="B1031"/>
      <c r="C1031"/>
      <c r="D1031"/>
      <c r="E1031"/>
      <c r="F1031"/>
      <c r="G1031"/>
      <c r="H1031"/>
      <c r="I1031"/>
      <c r="J1031"/>
      <c r="K1031"/>
      <c r="L1031"/>
      <c r="M1031"/>
      <c r="N1031"/>
      <c r="O1031"/>
    </row>
    <row r="1032" spans="2:15" x14ac:dyDescent="0.25">
      <c r="B1032"/>
      <c r="C1032"/>
      <c r="D1032"/>
      <c r="E1032"/>
      <c r="F1032"/>
      <c r="G1032"/>
      <c r="H1032"/>
      <c r="I1032"/>
      <c r="J1032"/>
      <c r="K1032"/>
      <c r="L1032"/>
      <c r="M1032"/>
      <c r="N1032"/>
      <c r="O1032"/>
    </row>
    <row r="1033" spans="2:15" x14ac:dyDescent="0.25">
      <c r="B1033"/>
      <c r="C1033"/>
      <c r="D1033"/>
      <c r="E1033"/>
      <c r="F1033"/>
      <c r="G1033"/>
      <c r="H1033"/>
      <c r="I1033"/>
      <c r="J1033"/>
      <c r="K1033"/>
      <c r="L1033"/>
      <c r="M1033"/>
      <c r="N1033"/>
      <c r="O1033"/>
    </row>
    <row r="1034" spans="2:15" x14ac:dyDescent="0.25">
      <c r="B1034"/>
      <c r="C1034"/>
      <c r="D1034"/>
      <c r="E1034"/>
      <c r="F1034"/>
      <c r="G1034"/>
      <c r="H1034"/>
      <c r="I1034"/>
      <c r="J1034"/>
      <c r="K1034"/>
      <c r="L1034"/>
      <c r="M1034"/>
      <c r="N1034"/>
      <c r="O1034"/>
    </row>
    <row r="1035" spans="2:15" x14ac:dyDescent="0.25">
      <c r="B1035"/>
      <c r="C1035"/>
      <c r="D1035"/>
      <c r="E1035"/>
      <c r="F1035"/>
      <c r="G1035"/>
      <c r="H1035"/>
      <c r="I1035"/>
      <c r="J1035"/>
      <c r="K1035"/>
      <c r="L1035"/>
      <c r="M1035"/>
      <c r="N1035"/>
      <c r="O1035"/>
    </row>
    <row r="1036" spans="2:15" x14ac:dyDescent="0.25">
      <c r="B1036"/>
      <c r="C1036"/>
      <c r="D1036"/>
      <c r="E1036"/>
      <c r="F1036"/>
      <c r="G1036"/>
      <c r="H1036"/>
      <c r="I1036"/>
      <c r="J1036"/>
      <c r="K1036"/>
      <c r="L1036"/>
      <c r="M1036"/>
      <c r="N1036"/>
      <c r="O1036"/>
    </row>
    <row r="1037" spans="2:15" x14ac:dyDescent="0.25">
      <c r="B1037"/>
      <c r="C1037"/>
      <c r="D1037"/>
      <c r="E1037"/>
      <c r="F1037"/>
      <c r="G1037"/>
      <c r="H1037"/>
      <c r="I1037"/>
      <c r="J1037"/>
      <c r="K1037"/>
      <c r="L1037"/>
      <c r="M1037"/>
      <c r="N1037"/>
      <c r="O1037"/>
    </row>
    <row r="1038" spans="2:15" x14ac:dyDescent="0.25">
      <c r="B1038"/>
      <c r="C1038"/>
      <c r="D1038"/>
      <c r="E1038"/>
      <c r="F1038"/>
      <c r="G1038"/>
      <c r="H1038"/>
      <c r="I1038"/>
      <c r="J1038"/>
      <c r="K1038"/>
      <c r="L1038"/>
      <c r="M1038"/>
      <c r="N1038"/>
      <c r="O1038"/>
    </row>
    <row r="1039" spans="2:15" x14ac:dyDescent="0.25">
      <c r="B1039"/>
      <c r="C1039"/>
      <c r="D1039"/>
      <c r="E1039"/>
      <c r="F1039"/>
      <c r="G1039"/>
      <c r="H1039"/>
      <c r="I1039"/>
      <c r="J1039"/>
      <c r="K1039"/>
      <c r="L1039"/>
      <c r="M1039"/>
      <c r="N1039"/>
      <c r="O1039"/>
    </row>
    <row r="1040" spans="2:15" x14ac:dyDescent="0.25">
      <c r="B1040"/>
      <c r="C1040"/>
      <c r="D1040"/>
      <c r="E1040"/>
      <c r="F1040"/>
      <c r="G1040"/>
      <c r="H1040"/>
      <c r="I1040"/>
      <c r="J1040"/>
      <c r="K1040"/>
      <c r="L1040"/>
      <c r="M1040"/>
      <c r="N1040"/>
      <c r="O1040"/>
    </row>
    <row r="1041" spans="2:15" x14ac:dyDescent="0.25">
      <c r="B1041"/>
      <c r="C1041"/>
      <c r="D1041"/>
      <c r="E1041"/>
      <c r="F1041"/>
      <c r="G1041"/>
      <c r="H1041"/>
      <c r="I1041"/>
      <c r="J1041"/>
      <c r="K1041"/>
      <c r="L1041"/>
      <c r="M1041"/>
      <c r="N1041"/>
      <c r="O1041"/>
    </row>
    <row r="1042" spans="2:15" x14ac:dyDescent="0.25">
      <c r="B1042"/>
      <c r="C1042"/>
      <c r="D1042"/>
      <c r="E1042"/>
      <c r="F1042"/>
      <c r="G1042"/>
      <c r="H1042"/>
      <c r="I1042"/>
      <c r="J1042"/>
      <c r="K1042"/>
      <c r="L1042"/>
      <c r="M1042"/>
      <c r="N1042"/>
      <c r="O1042"/>
    </row>
    <row r="1043" spans="2:15" x14ac:dyDescent="0.25">
      <c r="B1043"/>
      <c r="C1043"/>
      <c r="D1043"/>
      <c r="E1043"/>
      <c r="F1043"/>
      <c r="G1043"/>
      <c r="H1043"/>
      <c r="I1043"/>
      <c r="J1043"/>
      <c r="K1043"/>
      <c r="L1043"/>
      <c r="M1043"/>
      <c r="N1043"/>
      <c r="O1043"/>
    </row>
    <row r="1044" spans="2:15" x14ac:dyDescent="0.25">
      <c r="B1044"/>
      <c r="C1044"/>
      <c r="D1044"/>
      <c r="E1044"/>
      <c r="F1044"/>
      <c r="G1044"/>
      <c r="H1044"/>
      <c r="I1044"/>
      <c r="J1044"/>
      <c r="K1044"/>
      <c r="L1044"/>
      <c r="M1044"/>
      <c r="N1044"/>
      <c r="O1044"/>
    </row>
    <row r="1045" spans="2:15" x14ac:dyDescent="0.25">
      <c r="B1045"/>
      <c r="C1045"/>
      <c r="D1045"/>
      <c r="E1045"/>
      <c r="F1045"/>
      <c r="G1045"/>
      <c r="H1045"/>
      <c r="I1045"/>
      <c r="J1045"/>
      <c r="K1045"/>
      <c r="L1045"/>
      <c r="M1045"/>
      <c r="N1045"/>
      <c r="O1045"/>
    </row>
    <row r="1046" spans="2:15" x14ac:dyDescent="0.25">
      <c r="B1046"/>
      <c r="C1046"/>
      <c r="D1046"/>
      <c r="E1046"/>
      <c r="F1046"/>
      <c r="G1046"/>
      <c r="H1046"/>
      <c r="I1046"/>
      <c r="J1046"/>
      <c r="K1046"/>
      <c r="L1046"/>
      <c r="M1046"/>
      <c r="N1046"/>
      <c r="O1046"/>
    </row>
    <row r="1047" spans="2:15" x14ac:dyDescent="0.25">
      <c r="B1047"/>
      <c r="C1047"/>
      <c r="D1047"/>
      <c r="E1047"/>
      <c r="F1047"/>
      <c r="G1047"/>
      <c r="H1047"/>
      <c r="I1047"/>
      <c r="J1047"/>
      <c r="K1047"/>
      <c r="L1047"/>
      <c r="M1047"/>
      <c r="N1047"/>
      <c r="O1047"/>
    </row>
    <row r="1048" spans="2:15" x14ac:dyDescent="0.25">
      <c r="B1048"/>
      <c r="C1048"/>
      <c r="D1048"/>
      <c r="E1048"/>
      <c r="F1048"/>
      <c r="G1048"/>
      <c r="H1048"/>
      <c r="I1048"/>
      <c r="J1048"/>
      <c r="K1048"/>
      <c r="L1048"/>
      <c r="M1048"/>
      <c r="N1048"/>
      <c r="O1048"/>
    </row>
    <row r="1049" spans="2:15" x14ac:dyDescent="0.25">
      <c r="B1049"/>
      <c r="C1049"/>
      <c r="D1049"/>
      <c r="E1049"/>
      <c r="F1049"/>
      <c r="G1049"/>
      <c r="H1049"/>
      <c r="I1049"/>
      <c r="J1049"/>
      <c r="K1049"/>
      <c r="L1049"/>
      <c r="M1049"/>
      <c r="N1049"/>
      <c r="O1049"/>
    </row>
    <row r="1050" spans="2:15" x14ac:dyDescent="0.25">
      <c r="B1050"/>
      <c r="C1050"/>
      <c r="D1050"/>
      <c r="E1050"/>
      <c r="F1050"/>
      <c r="G1050"/>
      <c r="H1050"/>
      <c r="I1050"/>
      <c r="J1050"/>
      <c r="K1050"/>
      <c r="L1050"/>
      <c r="M1050"/>
      <c r="N1050"/>
      <c r="O1050"/>
    </row>
    <row r="1051" spans="2:15" x14ac:dyDescent="0.25">
      <c r="B1051"/>
      <c r="C1051"/>
      <c r="D1051"/>
      <c r="E1051"/>
      <c r="F1051"/>
      <c r="G1051"/>
      <c r="H1051"/>
      <c r="I1051"/>
      <c r="J1051"/>
      <c r="K1051"/>
      <c r="L1051"/>
      <c r="M1051"/>
      <c r="N1051"/>
      <c r="O1051"/>
    </row>
    <row r="1052" spans="2:15" x14ac:dyDescent="0.25">
      <c r="B1052"/>
      <c r="C1052"/>
      <c r="D1052"/>
      <c r="E1052"/>
      <c r="F1052"/>
      <c r="G1052"/>
      <c r="H1052"/>
      <c r="I1052"/>
      <c r="J1052"/>
      <c r="K1052"/>
      <c r="L1052"/>
      <c r="M1052"/>
      <c r="N1052"/>
      <c r="O1052"/>
    </row>
    <row r="1053" spans="2:15" x14ac:dyDescent="0.25">
      <c r="B1053"/>
      <c r="C1053"/>
      <c r="D1053"/>
      <c r="E1053"/>
      <c r="F1053"/>
      <c r="G1053"/>
      <c r="H1053"/>
      <c r="I1053"/>
      <c r="J1053"/>
      <c r="K1053"/>
      <c r="L1053"/>
      <c r="M1053"/>
      <c r="N1053"/>
      <c r="O1053"/>
    </row>
    <row r="1054" spans="2:15" x14ac:dyDescent="0.25">
      <c r="B1054"/>
      <c r="C1054"/>
      <c r="D1054"/>
      <c r="E1054"/>
      <c r="F1054"/>
      <c r="G1054"/>
      <c r="H1054"/>
      <c r="I1054"/>
      <c r="J1054"/>
      <c r="K1054"/>
      <c r="L1054"/>
      <c r="M1054"/>
      <c r="N1054"/>
      <c r="O1054"/>
    </row>
    <row r="1055" spans="2:15" x14ac:dyDescent="0.25">
      <c r="B1055"/>
      <c r="C1055"/>
      <c r="D1055"/>
      <c r="E1055"/>
      <c r="F1055"/>
      <c r="G1055"/>
      <c r="H1055"/>
      <c r="I1055"/>
      <c r="J1055"/>
      <c r="K1055"/>
      <c r="L1055"/>
      <c r="M1055"/>
      <c r="N1055"/>
      <c r="O1055"/>
    </row>
    <row r="1056" spans="2:15" x14ac:dyDescent="0.25">
      <c r="B1056"/>
      <c r="C1056"/>
      <c r="D1056"/>
      <c r="E1056"/>
      <c r="F1056"/>
      <c r="G1056"/>
      <c r="H1056"/>
      <c r="I1056"/>
      <c r="J1056"/>
      <c r="K1056"/>
      <c r="L1056"/>
      <c r="M1056"/>
      <c r="N1056"/>
      <c r="O1056"/>
    </row>
    <row r="1057" spans="2:15" x14ac:dyDescent="0.25">
      <c r="B1057"/>
      <c r="C1057"/>
      <c r="D1057"/>
      <c r="E1057"/>
      <c r="F1057"/>
      <c r="G1057"/>
      <c r="H1057"/>
      <c r="I1057"/>
      <c r="J1057"/>
      <c r="K1057"/>
      <c r="L1057"/>
      <c r="M1057"/>
      <c r="N1057"/>
      <c r="O1057"/>
    </row>
    <row r="1058" spans="2:15" x14ac:dyDescent="0.25">
      <c r="B1058"/>
      <c r="C1058"/>
      <c r="D1058"/>
      <c r="E1058"/>
      <c r="F1058"/>
      <c r="G1058"/>
      <c r="H1058"/>
      <c r="I1058"/>
      <c r="J1058"/>
      <c r="K1058"/>
      <c r="L1058"/>
      <c r="M1058"/>
      <c r="N1058"/>
      <c r="O1058"/>
    </row>
    <row r="1059" spans="2:15" x14ac:dyDescent="0.25">
      <c r="B1059"/>
      <c r="C1059"/>
      <c r="D1059"/>
      <c r="E1059"/>
      <c r="F1059"/>
      <c r="G1059"/>
      <c r="H1059"/>
      <c r="I1059"/>
      <c r="J1059"/>
      <c r="K1059"/>
      <c r="L1059"/>
      <c r="M1059"/>
      <c r="N1059"/>
      <c r="O1059"/>
    </row>
    <row r="1060" spans="2:15" x14ac:dyDescent="0.25">
      <c r="B1060"/>
      <c r="C1060"/>
      <c r="D1060"/>
      <c r="E1060"/>
      <c r="F1060"/>
      <c r="G1060"/>
      <c r="H1060"/>
      <c r="I1060"/>
      <c r="J1060"/>
      <c r="K1060"/>
      <c r="L1060"/>
      <c r="M1060"/>
      <c r="N1060"/>
      <c r="O1060"/>
    </row>
    <row r="1061" spans="2:15" x14ac:dyDescent="0.25">
      <c r="B1061"/>
      <c r="C1061"/>
      <c r="D1061"/>
      <c r="E1061"/>
      <c r="F1061"/>
      <c r="G1061"/>
      <c r="H1061"/>
      <c r="I1061"/>
      <c r="J1061"/>
      <c r="K1061"/>
      <c r="L1061"/>
      <c r="M1061"/>
      <c r="N1061"/>
      <c r="O1061"/>
    </row>
    <row r="1062" spans="2:15" x14ac:dyDescent="0.25">
      <c r="B1062"/>
      <c r="C1062"/>
      <c r="D1062"/>
      <c r="E1062"/>
      <c r="F1062"/>
      <c r="G1062"/>
      <c r="H1062"/>
      <c r="I1062"/>
      <c r="J1062"/>
      <c r="K1062"/>
      <c r="L1062"/>
      <c r="M1062"/>
      <c r="N1062"/>
      <c r="O1062"/>
    </row>
    <row r="1063" spans="2:15" x14ac:dyDescent="0.25">
      <c r="B1063"/>
      <c r="C1063"/>
      <c r="D1063"/>
      <c r="E1063"/>
      <c r="F1063"/>
      <c r="G1063"/>
      <c r="H1063"/>
      <c r="I1063"/>
      <c r="J1063"/>
      <c r="K1063"/>
      <c r="L1063"/>
      <c r="M1063"/>
      <c r="N1063"/>
      <c r="O1063"/>
    </row>
    <row r="1064" spans="2:15" x14ac:dyDescent="0.25">
      <c r="B1064"/>
      <c r="C1064"/>
      <c r="D1064"/>
      <c r="E1064"/>
      <c r="F1064"/>
      <c r="G1064"/>
      <c r="H1064"/>
      <c r="I1064"/>
      <c r="J1064"/>
      <c r="K1064"/>
      <c r="L1064"/>
      <c r="M1064"/>
      <c r="N1064"/>
      <c r="O1064"/>
    </row>
    <row r="1065" spans="2:15" x14ac:dyDescent="0.25">
      <c r="B1065"/>
      <c r="C1065"/>
      <c r="D1065"/>
      <c r="E1065"/>
      <c r="F1065"/>
      <c r="G1065"/>
      <c r="H1065"/>
      <c r="I1065"/>
      <c r="J1065"/>
      <c r="K1065"/>
      <c r="L1065"/>
      <c r="M1065"/>
      <c r="N1065"/>
      <c r="O1065"/>
    </row>
    <row r="1066" spans="2:15" x14ac:dyDescent="0.25">
      <c r="B1066"/>
      <c r="C1066"/>
      <c r="D1066"/>
      <c r="E1066"/>
      <c r="F1066"/>
      <c r="G1066"/>
      <c r="H1066"/>
      <c r="I1066"/>
      <c r="J1066"/>
      <c r="K1066"/>
      <c r="L1066"/>
      <c r="M1066"/>
      <c r="N1066"/>
      <c r="O1066"/>
    </row>
    <row r="1067" spans="2:15" x14ac:dyDescent="0.25">
      <c r="B1067"/>
      <c r="C1067"/>
      <c r="D1067"/>
      <c r="E1067"/>
      <c r="F1067"/>
      <c r="G1067"/>
      <c r="H1067"/>
      <c r="I1067"/>
      <c r="J1067"/>
      <c r="K1067"/>
      <c r="L1067"/>
      <c r="M1067"/>
      <c r="N1067"/>
      <c r="O1067"/>
    </row>
    <row r="1068" spans="2:15" x14ac:dyDescent="0.25">
      <c r="B1068"/>
      <c r="C1068"/>
      <c r="D1068"/>
      <c r="E1068"/>
      <c r="F1068"/>
      <c r="G1068"/>
      <c r="H1068"/>
      <c r="I1068"/>
      <c r="J1068"/>
      <c r="K1068"/>
      <c r="L1068"/>
      <c r="M1068"/>
      <c r="N1068"/>
      <c r="O1068"/>
    </row>
    <row r="1069" spans="2:15" x14ac:dyDescent="0.25">
      <c r="B1069"/>
      <c r="C1069"/>
      <c r="D1069"/>
      <c r="E1069"/>
      <c r="F1069"/>
      <c r="G1069"/>
      <c r="H1069"/>
      <c r="I1069"/>
      <c r="J1069"/>
      <c r="K1069"/>
      <c r="L1069"/>
      <c r="M1069"/>
      <c r="N1069"/>
      <c r="O1069"/>
    </row>
    <row r="1070" spans="2:15" x14ac:dyDescent="0.25">
      <c r="B1070"/>
      <c r="C1070"/>
      <c r="D1070"/>
      <c r="E1070"/>
      <c r="F1070"/>
      <c r="G1070"/>
      <c r="H1070"/>
      <c r="I1070"/>
      <c r="J1070"/>
      <c r="K1070"/>
      <c r="L1070"/>
      <c r="M1070"/>
      <c r="N1070"/>
      <c r="O1070"/>
    </row>
    <row r="1071" spans="2:15" x14ac:dyDescent="0.25">
      <c r="B1071"/>
      <c r="C1071"/>
      <c r="D1071"/>
      <c r="E1071"/>
      <c r="F1071"/>
      <c r="G1071"/>
      <c r="H1071"/>
      <c r="I1071"/>
      <c r="J1071"/>
      <c r="K1071"/>
      <c r="L1071"/>
      <c r="M1071"/>
      <c r="N1071"/>
      <c r="O1071"/>
    </row>
    <row r="1072" spans="2:15" x14ac:dyDescent="0.25">
      <c r="B1072"/>
      <c r="C1072"/>
      <c r="D1072"/>
      <c r="E1072"/>
      <c r="F1072"/>
      <c r="G1072"/>
      <c r="H1072"/>
      <c r="I1072"/>
      <c r="J1072"/>
      <c r="K1072"/>
      <c r="L1072"/>
      <c r="M1072"/>
      <c r="N1072"/>
      <c r="O1072"/>
    </row>
    <row r="1073" spans="2:15" x14ac:dyDescent="0.25">
      <c r="B1073"/>
      <c r="C1073"/>
      <c r="D1073"/>
      <c r="E1073"/>
      <c r="F1073"/>
      <c r="G1073"/>
      <c r="H1073"/>
      <c r="I1073"/>
      <c r="J1073"/>
      <c r="K1073"/>
      <c r="L1073"/>
      <c r="M1073"/>
      <c r="N1073"/>
      <c r="O1073"/>
    </row>
    <row r="1074" spans="2:15" x14ac:dyDescent="0.25">
      <c r="B1074"/>
      <c r="C1074"/>
      <c r="D1074"/>
      <c r="E1074"/>
      <c r="F1074"/>
      <c r="G1074"/>
      <c r="H1074"/>
      <c r="I1074"/>
      <c r="J1074"/>
      <c r="K1074"/>
      <c r="L1074"/>
      <c r="M1074"/>
      <c r="N1074"/>
      <c r="O1074"/>
    </row>
    <row r="1075" spans="2:15" x14ac:dyDescent="0.25">
      <c r="B1075"/>
      <c r="C1075"/>
      <c r="D1075"/>
      <c r="E1075"/>
      <c r="F1075"/>
      <c r="G1075"/>
      <c r="H1075"/>
      <c r="I1075"/>
      <c r="J1075"/>
      <c r="K1075"/>
      <c r="L1075"/>
      <c r="M1075"/>
      <c r="N1075"/>
      <c r="O1075"/>
    </row>
    <row r="1076" spans="2:15" x14ac:dyDescent="0.25">
      <c r="B1076"/>
      <c r="C1076"/>
      <c r="D1076"/>
      <c r="E1076"/>
      <c r="F1076"/>
      <c r="G1076"/>
      <c r="H1076"/>
      <c r="I1076"/>
      <c r="J1076"/>
      <c r="K1076"/>
      <c r="L1076"/>
      <c r="M1076"/>
      <c r="N1076"/>
      <c r="O1076"/>
    </row>
    <row r="1077" spans="2:15" x14ac:dyDescent="0.25">
      <c r="B1077"/>
      <c r="C1077"/>
      <c r="D1077"/>
      <c r="E1077"/>
      <c r="F1077"/>
      <c r="G1077"/>
      <c r="H1077"/>
      <c r="I1077"/>
      <c r="J1077"/>
      <c r="K1077"/>
      <c r="L1077"/>
      <c r="M1077"/>
      <c r="N1077"/>
      <c r="O1077"/>
    </row>
    <row r="1078" spans="2:15" x14ac:dyDescent="0.25">
      <c r="B1078"/>
      <c r="C1078"/>
      <c r="D1078"/>
      <c r="E1078"/>
      <c r="F1078"/>
      <c r="G1078"/>
      <c r="H1078"/>
      <c r="I1078"/>
      <c r="J1078"/>
      <c r="K1078"/>
      <c r="L1078"/>
      <c r="M1078"/>
      <c r="N1078"/>
      <c r="O1078"/>
    </row>
    <row r="1079" spans="2:15" x14ac:dyDescent="0.25">
      <c r="B1079"/>
      <c r="C1079"/>
      <c r="D1079"/>
      <c r="E1079"/>
      <c r="F1079"/>
      <c r="G1079"/>
      <c r="H1079"/>
      <c r="I1079"/>
      <c r="J1079"/>
      <c r="K1079"/>
      <c r="L1079"/>
      <c r="M1079"/>
      <c r="N1079"/>
      <c r="O1079"/>
    </row>
    <row r="1080" spans="2:15" x14ac:dyDescent="0.25">
      <c r="B1080"/>
      <c r="C1080"/>
      <c r="D1080"/>
      <c r="E1080"/>
      <c r="F1080"/>
      <c r="G1080"/>
      <c r="H1080"/>
      <c r="I1080"/>
      <c r="J1080"/>
      <c r="K1080"/>
      <c r="L1080"/>
      <c r="M1080"/>
      <c r="N1080"/>
      <c r="O1080"/>
    </row>
    <row r="1081" spans="2:15" x14ac:dyDescent="0.25">
      <c r="B1081"/>
      <c r="C1081"/>
      <c r="D1081"/>
      <c r="E1081"/>
      <c r="F1081"/>
      <c r="G1081"/>
      <c r="H1081"/>
      <c r="I1081"/>
      <c r="J1081"/>
      <c r="K1081"/>
      <c r="L1081"/>
      <c r="M1081"/>
      <c r="N1081"/>
      <c r="O1081"/>
    </row>
    <row r="1082" spans="2:15" x14ac:dyDescent="0.25">
      <c r="B1082"/>
      <c r="C1082"/>
      <c r="D1082"/>
      <c r="E1082"/>
      <c r="F1082"/>
      <c r="G1082"/>
      <c r="H1082"/>
      <c r="I1082"/>
      <c r="J1082"/>
      <c r="K1082"/>
      <c r="L1082"/>
      <c r="M1082"/>
      <c r="N1082"/>
      <c r="O1082"/>
    </row>
    <row r="1083" spans="2:15" x14ac:dyDescent="0.25">
      <c r="B1083"/>
      <c r="C1083"/>
      <c r="D1083"/>
      <c r="E1083"/>
      <c r="F1083"/>
      <c r="G1083"/>
      <c r="H1083"/>
      <c r="I1083"/>
      <c r="J1083"/>
      <c r="K1083"/>
      <c r="L1083"/>
      <c r="M1083"/>
      <c r="N1083"/>
      <c r="O1083"/>
    </row>
    <row r="1084" spans="2:15" x14ac:dyDescent="0.25">
      <c r="B1084"/>
      <c r="C1084"/>
      <c r="D1084"/>
      <c r="E1084"/>
      <c r="F1084"/>
      <c r="G1084"/>
      <c r="H1084"/>
      <c r="I1084"/>
      <c r="J1084"/>
      <c r="K1084"/>
      <c r="L1084"/>
      <c r="M1084"/>
      <c r="N1084"/>
      <c r="O1084"/>
    </row>
    <row r="1085" spans="2:15" x14ac:dyDescent="0.25">
      <c r="B1085"/>
      <c r="C1085"/>
      <c r="D1085"/>
      <c r="E1085"/>
      <c r="F1085"/>
      <c r="G1085"/>
      <c r="H1085"/>
      <c r="I1085"/>
      <c r="J1085"/>
      <c r="K1085"/>
      <c r="L1085"/>
      <c r="M1085"/>
      <c r="N1085"/>
      <c r="O1085"/>
    </row>
    <row r="1086" spans="2:15" x14ac:dyDescent="0.25">
      <c r="B1086"/>
      <c r="C1086"/>
      <c r="D1086"/>
      <c r="E1086"/>
      <c r="F1086"/>
      <c r="G1086"/>
      <c r="H1086"/>
      <c r="I1086"/>
      <c r="J1086"/>
      <c r="K1086"/>
      <c r="L1086"/>
      <c r="M1086"/>
      <c r="N1086"/>
      <c r="O1086"/>
    </row>
    <row r="1087" spans="2:15" x14ac:dyDescent="0.25">
      <c r="B1087"/>
      <c r="C1087"/>
      <c r="D1087"/>
      <c r="E1087"/>
      <c r="F1087"/>
      <c r="G1087"/>
      <c r="H1087"/>
      <c r="I1087"/>
      <c r="J1087"/>
      <c r="K1087"/>
      <c r="L1087"/>
      <c r="M1087"/>
      <c r="N1087"/>
      <c r="O1087"/>
    </row>
    <row r="1088" spans="2:15" x14ac:dyDescent="0.25">
      <c r="B1088"/>
      <c r="C1088"/>
      <c r="D1088"/>
      <c r="E1088"/>
      <c r="F1088"/>
      <c r="G1088"/>
      <c r="H1088"/>
      <c r="I1088"/>
      <c r="J1088"/>
      <c r="K1088"/>
      <c r="L1088"/>
      <c r="M1088"/>
      <c r="N1088"/>
      <c r="O1088"/>
    </row>
    <row r="1089" spans="2:15" x14ac:dyDescent="0.25">
      <c r="B1089"/>
      <c r="C1089"/>
      <c r="D1089"/>
      <c r="E1089"/>
      <c r="F1089"/>
      <c r="G1089"/>
      <c r="H1089"/>
      <c r="I1089"/>
      <c r="J1089"/>
      <c r="K1089"/>
      <c r="L1089"/>
      <c r="M1089"/>
      <c r="N1089"/>
      <c r="O1089"/>
    </row>
    <row r="1090" spans="2:15" x14ac:dyDescent="0.25">
      <c r="B1090"/>
      <c r="C1090"/>
      <c r="D1090"/>
      <c r="E1090"/>
      <c r="F1090"/>
      <c r="G1090"/>
      <c r="H1090"/>
      <c r="I1090"/>
      <c r="J1090"/>
      <c r="K1090"/>
      <c r="L1090"/>
      <c r="M1090"/>
      <c r="N1090"/>
      <c r="O1090"/>
    </row>
    <row r="1091" spans="2:15" x14ac:dyDescent="0.25">
      <c r="B1091"/>
      <c r="C1091"/>
      <c r="D1091"/>
      <c r="E1091"/>
      <c r="F1091"/>
      <c r="G1091"/>
      <c r="H1091"/>
      <c r="I1091"/>
      <c r="J1091"/>
      <c r="K1091"/>
      <c r="L1091"/>
      <c r="M1091"/>
      <c r="N1091"/>
      <c r="O1091"/>
    </row>
    <row r="1092" spans="2:15" x14ac:dyDescent="0.25">
      <c r="B1092"/>
      <c r="C1092"/>
      <c r="D1092"/>
      <c r="E1092"/>
      <c r="F1092"/>
      <c r="G1092"/>
      <c r="H1092"/>
      <c r="I1092"/>
      <c r="J1092"/>
      <c r="K1092"/>
      <c r="L1092"/>
      <c r="M1092"/>
      <c r="N1092"/>
      <c r="O1092"/>
    </row>
    <row r="1093" spans="2:15" x14ac:dyDescent="0.25">
      <c r="B1093"/>
      <c r="C1093"/>
      <c r="D1093"/>
      <c r="E1093"/>
      <c r="F1093"/>
      <c r="G1093"/>
      <c r="H1093"/>
      <c r="I1093"/>
      <c r="J1093"/>
      <c r="K1093"/>
      <c r="L1093"/>
      <c r="M1093"/>
      <c r="N1093"/>
      <c r="O1093"/>
    </row>
    <row r="1094" spans="2:15" x14ac:dyDescent="0.25">
      <c r="B1094"/>
      <c r="C1094"/>
      <c r="D1094"/>
      <c r="E1094"/>
      <c r="F1094"/>
      <c r="G1094"/>
      <c r="H1094"/>
      <c r="I1094"/>
      <c r="J1094"/>
      <c r="K1094"/>
      <c r="L1094"/>
      <c r="M1094"/>
      <c r="N1094"/>
      <c r="O1094"/>
    </row>
    <row r="1095" spans="2:15" x14ac:dyDescent="0.25">
      <c r="B1095"/>
      <c r="C1095"/>
      <c r="D1095"/>
      <c r="E1095"/>
      <c r="F1095"/>
      <c r="G1095"/>
      <c r="H1095"/>
      <c r="I1095"/>
      <c r="J1095"/>
      <c r="K1095"/>
      <c r="L1095"/>
      <c r="M1095"/>
      <c r="N1095"/>
      <c r="O1095"/>
    </row>
    <row r="1096" spans="2:15" x14ac:dyDescent="0.25">
      <c r="B1096"/>
      <c r="C1096"/>
      <c r="D1096"/>
      <c r="E1096"/>
      <c r="F1096"/>
      <c r="G1096"/>
      <c r="H1096"/>
      <c r="I1096"/>
      <c r="J1096"/>
      <c r="K1096"/>
      <c r="L1096"/>
      <c r="M1096"/>
      <c r="N1096"/>
      <c r="O1096"/>
    </row>
    <row r="1097" spans="2:15" x14ac:dyDescent="0.25">
      <c r="B1097"/>
      <c r="C1097"/>
      <c r="D1097"/>
      <c r="E1097"/>
      <c r="F1097"/>
      <c r="G1097"/>
      <c r="H1097"/>
      <c r="I1097"/>
      <c r="J1097"/>
      <c r="K1097"/>
      <c r="L1097"/>
      <c r="M1097"/>
      <c r="N1097"/>
      <c r="O1097"/>
    </row>
    <row r="1098" spans="2:15" x14ac:dyDescent="0.25">
      <c r="B1098"/>
      <c r="C1098"/>
      <c r="D1098"/>
      <c r="E1098"/>
      <c r="F1098"/>
      <c r="G1098"/>
      <c r="H1098"/>
      <c r="I1098"/>
      <c r="J1098"/>
      <c r="K1098"/>
      <c r="L1098"/>
      <c r="M1098"/>
      <c r="N1098"/>
      <c r="O1098"/>
    </row>
    <row r="1099" spans="2:15" x14ac:dyDescent="0.25">
      <c r="B1099"/>
      <c r="C1099"/>
      <c r="D1099"/>
      <c r="E1099"/>
      <c r="F1099"/>
      <c r="G1099"/>
      <c r="H1099"/>
      <c r="I1099"/>
      <c r="J1099"/>
      <c r="K1099"/>
      <c r="L1099"/>
      <c r="M1099"/>
      <c r="N1099"/>
      <c r="O1099"/>
    </row>
    <row r="1100" spans="2:15" x14ac:dyDescent="0.25">
      <c r="B1100"/>
      <c r="C1100"/>
      <c r="D1100"/>
      <c r="E1100"/>
      <c r="F1100"/>
      <c r="G1100"/>
      <c r="H1100"/>
      <c r="I1100"/>
      <c r="J1100"/>
      <c r="K1100"/>
      <c r="L1100"/>
      <c r="M1100"/>
      <c r="N1100"/>
      <c r="O1100"/>
    </row>
    <row r="1101" spans="2:15" x14ac:dyDescent="0.25">
      <c r="B1101"/>
      <c r="C1101"/>
      <c r="D1101"/>
      <c r="E1101"/>
      <c r="F1101"/>
      <c r="G1101"/>
      <c r="H1101"/>
      <c r="I1101"/>
      <c r="J1101"/>
      <c r="K1101"/>
      <c r="L1101"/>
      <c r="M1101"/>
      <c r="N1101"/>
      <c r="O1101"/>
    </row>
    <row r="1102" spans="2:15" x14ac:dyDescent="0.25">
      <c r="B1102"/>
      <c r="C1102"/>
      <c r="D1102"/>
      <c r="E1102"/>
      <c r="F1102"/>
      <c r="G1102"/>
      <c r="H1102"/>
      <c r="I1102"/>
      <c r="J1102"/>
      <c r="K1102"/>
      <c r="L1102"/>
      <c r="M1102"/>
      <c r="N1102"/>
      <c r="O1102"/>
    </row>
    <row r="1103" spans="2:15" x14ac:dyDescent="0.25">
      <c r="B1103"/>
      <c r="C1103"/>
      <c r="D1103"/>
      <c r="E1103"/>
      <c r="F1103"/>
      <c r="G1103"/>
      <c r="H1103"/>
      <c r="I1103"/>
      <c r="J1103"/>
      <c r="K1103"/>
      <c r="L1103"/>
      <c r="M1103"/>
      <c r="N1103"/>
      <c r="O1103"/>
    </row>
    <row r="1104" spans="2:15" x14ac:dyDescent="0.25">
      <c r="B1104"/>
      <c r="C1104"/>
      <c r="D1104"/>
      <c r="E1104"/>
      <c r="F1104"/>
      <c r="G1104"/>
      <c r="H1104"/>
      <c r="I1104"/>
      <c r="J1104"/>
      <c r="K1104"/>
      <c r="L1104"/>
      <c r="M1104"/>
      <c r="N1104"/>
      <c r="O1104"/>
    </row>
    <row r="1105" spans="2:15" x14ac:dyDescent="0.25">
      <c r="B1105"/>
      <c r="C1105"/>
      <c r="D1105"/>
      <c r="E1105"/>
      <c r="F1105"/>
      <c r="G1105"/>
      <c r="H1105"/>
      <c r="I1105"/>
      <c r="J1105"/>
      <c r="K1105"/>
      <c r="L1105"/>
      <c r="M1105"/>
      <c r="N1105"/>
      <c r="O1105"/>
    </row>
    <row r="1106" spans="2:15" x14ac:dyDescent="0.25">
      <c r="B1106"/>
      <c r="C1106"/>
      <c r="D1106"/>
      <c r="E1106"/>
      <c r="F1106"/>
      <c r="G1106"/>
      <c r="H1106"/>
      <c r="I1106"/>
      <c r="J1106"/>
      <c r="K1106"/>
      <c r="L1106"/>
      <c r="M1106"/>
      <c r="N1106"/>
      <c r="O1106"/>
    </row>
    <row r="1107" spans="2:15" x14ac:dyDescent="0.25">
      <c r="B1107"/>
      <c r="C1107"/>
      <c r="D1107"/>
      <c r="E1107"/>
      <c r="F1107"/>
      <c r="G1107"/>
      <c r="H1107"/>
      <c r="I1107"/>
      <c r="J1107"/>
      <c r="K1107"/>
      <c r="L1107"/>
      <c r="M1107"/>
      <c r="N1107"/>
      <c r="O1107"/>
    </row>
    <row r="1108" spans="2:15" x14ac:dyDescent="0.25">
      <c r="B1108"/>
      <c r="C1108"/>
      <c r="D1108"/>
      <c r="E1108"/>
      <c r="F1108"/>
      <c r="G1108"/>
      <c r="H1108"/>
      <c r="I1108"/>
      <c r="J1108"/>
      <c r="K1108"/>
      <c r="L1108"/>
      <c r="M1108"/>
      <c r="N1108"/>
      <c r="O1108"/>
    </row>
    <row r="1109" spans="2:15" x14ac:dyDescent="0.25">
      <c r="B1109"/>
      <c r="C1109"/>
      <c r="D1109"/>
      <c r="E1109"/>
      <c r="F1109"/>
      <c r="G1109"/>
      <c r="H1109"/>
      <c r="I1109"/>
      <c r="J1109"/>
      <c r="K1109"/>
      <c r="L1109"/>
      <c r="M1109"/>
      <c r="N1109"/>
      <c r="O1109"/>
    </row>
    <row r="1110" spans="2:15" x14ac:dyDescent="0.25">
      <c r="B1110"/>
      <c r="C1110"/>
      <c r="D1110"/>
      <c r="E1110"/>
      <c r="F1110"/>
      <c r="G1110"/>
      <c r="H1110"/>
      <c r="I1110"/>
      <c r="J1110"/>
      <c r="K1110"/>
      <c r="L1110"/>
      <c r="M1110"/>
      <c r="N1110"/>
      <c r="O1110"/>
    </row>
    <row r="1111" spans="2:15" x14ac:dyDescent="0.25">
      <c r="B1111"/>
      <c r="C1111"/>
      <c r="D1111"/>
      <c r="E1111"/>
      <c r="F1111"/>
      <c r="G1111"/>
      <c r="H1111"/>
      <c r="I1111"/>
      <c r="J1111"/>
      <c r="K1111"/>
      <c r="L1111"/>
      <c r="M1111"/>
      <c r="N1111"/>
      <c r="O1111"/>
    </row>
    <row r="1112" spans="2:15" x14ac:dyDescent="0.25">
      <c r="B1112"/>
      <c r="C1112"/>
      <c r="D1112"/>
      <c r="E1112"/>
      <c r="F1112"/>
      <c r="G1112"/>
      <c r="H1112"/>
      <c r="I1112"/>
      <c r="J1112"/>
      <c r="K1112"/>
      <c r="L1112"/>
      <c r="M1112"/>
      <c r="N1112"/>
      <c r="O1112"/>
    </row>
    <row r="1113" spans="2:15" x14ac:dyDescent="0.25">
      <c r="B1113"/>
      <c r="C1113"/>
      <c r="D1113"/>
      <c r="E1113"/>
      <c r="F1113"/>
      <c r="G1113"/>
      <c r="H1113"/>
      <c r="I1113"/>
      <c r="J1113"/>
      <c r="K1113"/>
      <c r="L1113"/>
      <c r="M1113"/>
      <c r="N1113"/>
      <c r="O1113"/>
    </row>
    <row r="1114" spans="2:15" x14ac:dyDescent="0.25">
      <c r="B1114"/>
      <c r="C1114"/>
      <c r="D1114"/>
      <c r="E1114"/>
      <c r="F1114"/>
      <c r="G1114"/>
      <c r="H1114"/>
      <c r="I1114"/>
      <c r="J1114"/>
      <c r="K1114"/>
      <c r="L1114"/>
      <c r="M1114"/>
      <c r="N1114"/>
      <c r="O1114"/>
    </row>
    <row r="1115" spans="2:15" x14ac:dyDescent="0.25">
      <c r="B1115"/>
      <c r="C1115"/>
      <c r="D1115"/>
      <c r="E1115"/>
      <c r="F1115"/>
      <c r="G1115"/>
      <c r="H1115"/>
      <c r="I1115"/>
      <c r="J1115"/>
      <c r="K1115"/>
      <c r="L1115"/>
      <c r="M1115"/>
      <c r="N1115"/>
      <c r="O1115"/>
    </row>
    <row r="1116" spans="2:15" x14ac:dyDescent="0.25">
      <c r="B1116"/>
      <c r="C1116"/>
      <c r="D1116"/>
      <c r="E1116"/>
      <c r="F1116"/>
      <c r="G1116"/>
      <c r="H1116"/>
      <c r="I1116"/>
      <c r="J1116"/>
      <c r="K1116"/>
      <c r="L1116"/>
      <c r="M1116"/>
      <c r="N1116"/>
      <c r="O1116"/>
    </row>
    <row r="1117" spans="2:15" x14ac:dyDescent="0.25">
      <c r="B1117"/>
      <c r="C1117"/>
      <c r="D1117"/>
      <c r="E1117"/>
      <c r="F1117"/>
      <c r="G1117"/>
      <c r="H1117"/>
      <c r="I1117"/>
      <c r="J1117"/>
      <c r="K1117"/>
      <c r="L1117"/>
      <c r="M1117"/>
      <c r="N1117"/>
      <c r="O1117"/>
    </row>
    <row r="1118" spans="2:15" x14ac:dyDescent="0.25">
      <c r="B1118"/>
      <c r="C1118"/>
      <c r="D1118"/>
      <c r="E1118"/>
      <c r="F1118"/>
      <c r="G1118"/>
      <c r="H1118"/>
      <c r="I1118"/>
      <c r="J1118"/>
      <c r="K1118"/>
      <c r="L1118"/>
      <c r="M1118"/>
      <c r="N1118"/>
      <c r="O1118"/>
    </row>
    <row r="1119" spans="2:15" x14ac:dyDescent="0.25">
      <c r="B1119"/>
      <c r="C1119"/>
      <c r="D1119"/>
      <c r="E1119"/>
      <c r="F1119"/>
      <c r="G1119"/>
      <c r="H1119"/>
      <c r="I1119"/>
      <c r="J1119"/>
      <c r="K1119"/>
      <c r="L1119"/>
      <c r="M1119"/>
      <c r="N1119"/>
      <c r="O1119"/>
    </row>
    <row r="1120" spans="2:15" x14ac:dyDescent="0.25">
      <c r="B1120"/>
      <c r="C1120"/>
      <c r="D1120"/>
      <c r="E1120"/>
      <c r="F1120"/>
      <c r="G1120"/>
      <c r="H1120"/>
      <c r="I1120"/>
      <c r="J1120"/>
      <c r="K1120"/>
      <c r="L1120"/>
      <c r="M1120"/>
      <c r="N1120"/>
      <c r="O1120"/>
    </row>
    <row r="1121" spans="2:15" x14ac:dyDescent="0.25">
      <c r="B1121"/>
      <c r="C1121"/>
      <c r="D1121"/>
      <c r="E1121"/>
      <c r="F1121"/>
      <c r="G1121"/>
      <c r="H1121"/>
      <c r="I1121"/>
      <c r="J1121"/>
      <c r="K1121"/>
      <c r="L1121"/>
      <c r="M1121"/>
      <c r="N1121"/>
      <c r="O1121"/>
    </row>
    <row r="1122" spans="2:15" x14ac:dyDescent="0.25">
      <c r="B1122"/>
      <c r="C1122"/>
      <c r="D1122"/>
      <c r="E1122"/>
      <c r="F1122"/>
      <c r="G1122"/>
      <c r="H1122"/>
      <c r="I1122"/>
      <c r="J1122"/>
      <c r="K1122"/>
      <c r="L1122"/>
      <c r="M1122"/>
      <c r="N1122"/>
      <c r="O1122"/>
    </row>
    <row r="1123" spans="2:15" x14ac:dyDescent="0.25">
      <c r="B1123"/>
      <c r="C1123"/>
      <c r="D1123"/>
      <c r="E1123"/>
      <c r="F1123"/>
      <c r="G1123"/>
      <c r="H1123"/>
      <c r="I1123"/>
      <c r="J1123"/>
      <c r="K1123"/>
      <c r="L1123"/>
      <c r="M1123"/>
      <c r="N1123"/>
      <c r="O1123"/>
    </row>
    <row r="1124" spans="2:15" x14ac:dyDescent="0.25">
      <c r="B1124"/>
      <c r="C1124"/>
      <c r="D1124"/>
      <c r="E1124"/>
      <c r="F1124"/>
      <c r="G1124"/>
      <c r="H1124"/>
      <c r="I1124"/>
      <c r="J1124"/>
      <c r="K1124"/>
      <c r="L1124"/>
      <c r="M1124"/>
      <c r="N1124"/>
      <c r="O1124"/>
    </row>
    <row r="1125" spans="2:15" x14ac:dyDescent="0.25">
      <c r="B1125"/>
      <c r="C1125"/>
      <c r="D1125"/>
      <c r="E1125"/>
      <c r="F1125"/>
      <c r="G1125"/>
      <c r="H1125"/>
      <c r="I1125"/>
      <c r="J1125"/>
      <c r="K1125"/>
      <c r="L1125"/>
      <c r="M1125"/>
      <c r="N1125"/>
      <c r="O1125"/>
    </row>
    <row r="1126" spans="2:15" x14ac:dyDescent="0.25">
      <c r="B1126"/>
      <c r="C1126"/>
      <c r="D1126"/>
      <c r="E1126"/>
      <c r="F1126"/>
      <c r="G1126"/>
      <c r="H1126"/>
      <c r="I1126"/>
      <c r="J1126"/>
      <c r="K1126"/>
      <c r="L1126"/>
      <c r="M1126"/>
      <c r="N1126"/>
      <c r="O1126"/>
    </row>
    <row r="1127" spans="2:15" x14ac:dyDescent="0.25">
      <c r="B1127"/>
      <c r="C1127"/>
      <c r="D1127"/>
      <c r="E1127"/>
      <c r="F1127"/>
      <c r="G1127"/>
      <c r="H1127"/>
      <c r="I1127"/>
      <c r="J1127"/>
      <c r="K1127"/>
      <c r="L1127"/>
      <c r="M1127"/>
      <c r="N1127"/>
      <c r="O1127"/>
    </row>
    <row r="1128" spans="2:15" x14ac:dyDescent="0.25">
      <c r="B1128"/>
      <c r="C1128"/>
      <c r="D1128"/>
      <c r="E1128"/>
      <c r="F1128"/>
      <c r="G1128"/>
      <c r="H1128"/>
      <c r="I1128"/>
      <c r="J1128"/>
      <c r="K1128"/>
      <c r="L1128"/>
      <c r="M1128"/>
      <c r="N1128"/>
      <c r="O1128"/>
    </row>
    <row r="1129" spans="2:15" x14ac:dyDescent="0.25">
      <c r="B1129"/>
      <c r="C1129"/>
      <c r="D1129"/>
      <c r="E1129"/>
      <c r="F1129"/>
      <c r="G1129"/>
      <c r="H1129"/>
      <c r="I1129"/>
      <c r="J1129"/>
      <c r="K1129"/>
      <c r="L1129"/>
      <c r="M1129"/>
      <c r="N1129"/>
      <c r="O1129"/>
    </row>
    <row r="1130" spans="2:15" x14ac:dyDescent="0.25">
      <c r="B1130"/>
      <c r="C1130"/>
      <c r="D1130"/>
      <c r="E1130"/>
      <c r="F1130"/>
      <c r="G1130"/>
      <c r="H1130"/>
      <c r="I1130"/>
      <c r="J1130"/>
      <c r="K1130"/>
      <c r="L1130"/>
      <c r="M1130"/>
      <c r="N1130"/>
      <c r="O1130"/>
    </row>
    <row r="1131" spans="2:15" x14ac:dyDescent="0.25">
      <c r="B1131"/>
      <c r="C1131"/>
      <c r="D1131"/>
      <c r="E1131"/>
      <c r="F1131"/>
      <c r="G1131"/>
      <c r="H1131"/>
      <c r="I1131"/>
      <c r="J1131"/>
      <c r="K1131"/>
      <c r="L1131"/>
      <c r="M1131"/>
      <c r="N1131"/>
      <c r="O1131"/>
    </row>
    <row r="1132" spans="2:15" x14ac:dyDescent="0.25">
      <c r="B1132"/>
      <c r="C1132"/>
      <c r="D1132"/>
      <c r="E1132"/>
      <c r="F1132"/>
      <c r="G1132"/>
      <c r="H1132"/>
      <c r="I1132"/>
      <c r="J1132"/>
      <c r="K1132"/>
      <c r="L1132"/>
      <c r="M1132"/>
      <c r="N1132"/>
      <c r="O1132"/>
    </row>
    <row r="1133" spans="2:15" x14ac:dyDescent="0.25">
      <c r="B1133"/>
      <c r="C1133"/>
      <c r="D1133"/>
      <c r="E1133"/>
      <c r="F1133"/>
      <c r="G1133"/>
      <c r="H1133"/>
      <c r="I1133"/>
      <c r="J1133"/>
      <c r="K1133"/>
      <c r="L1133"/>
      <c r="M1133"/>
      <c r="N1133"/>
      <c r="O1133"/>
    </row>
    <row r="1134" spans="2:15" x14ac:dyDescent="0.25">
      <c r="B1134"/>
      <c r="C1134"/>
      <c r="D1134"/>
      <c r="E1134"/>
      <c r="F1134"/>
      <c r="G1134"/>
      <c r="H1134"/>
      <c r="I1134"/>
      <c r="J1134"/>
      <c r="K1134"/>
      <c r="L1134"/>
      <c r="M1134"/>
      <c r="N1134"/>
      <c r="O1134"/>
    </row>
    <row r="1135" spans="2:15" x14ac:dyDescent="0.25">
      <c r="B1135"/>
      <c r="C1135"/>
      <c r="D1135"/>
      <c r="E1135"/>
      <c r="F1135"/>
      <c r="G1135"/>
      <c r="H1135"/>
      <c r="I1135"/>
      <c r="J1135"/>
      <c r="K1135"/>
      <c r="L1135"/>
      <c r="M1135"/>
      <c r="N1135"/>
      <c r="O1135"/>
    </row>
    <row r="1136" spans="2:15" x14ac:dyDescent="0.25">
      <c r="B1136"/>
      <c r="C1136"/>
      <c r="D1136"/>
      <c r="E1136"/>
      <c r="F1136"/>
      <c r="G1136"/>
      <c r="H1136"/>
      <c r="I1136"/>
      <c r="J1136"/>
      <c r="K1136"/>
      <c r="L1136"/>
      <c r="M1136"/>
      <c r="N1136"/>
      <c r="O1136"/>
    </row>
    <row r="1137" spans="2:15" x14ac:dyDescent="0.25">
      <c r="B1137"/>
      <c r="C1137"/>
      <c r="D1137"/>
      <c r="E1137"/>
      <c r="F1137"/>
      <c r="G1137"/>
      <c r="H1137"/>
      <c r="I1137"/>
      <c r="J1137"/>
      <c r="K1137"/>
      <c r="L1137"/>
      <c r="M1137"/>
      <c r="N1137"/>
      <c r="O1137"/>
    </row>
    <row r="1138" spans="2:15" x14ac:dyDescent="0.25">
      <c r="B1138"/>
      <c r="C1138"/>
      <c r="D1138"/>
      <c r="E1138"/>
      <c r="F1138"/>
      <c r="G1138"/>
      <c r="H1138"/>
      <c r="I1138"/>
      <c r="J1138"/>
      <c r="K1138"/>
      <c r="L1138"/>
      <c r="M1138"/>
      <c r="N1138"/>
      <c r="O1138"/>
    </row>
    <row r="1139" spans="2:15" x14ac:dyDescent="0.25">
      <c r="B1139"/>
      <c r="C1139"/>
      <c r="D1139"/>
      <c r="E1139"/>
      <c r="F1139"/>
      <c r="G1139"/>
      <c r="H1139"/>
      <c r="I1139"/>
      <c r="J1139"/>
      <c r="K1139"/>
      <c r="L1139"/>
      <c r="M1139"/>
      <c r="N1139"/>
      <c r="O1139"/>
    </row>
    <row r="1140" spans="2:15" x14ac:dyDescent="0.25">
      <c r="B1140"/>
      <c r="C1140"/>
      <c r="D1140"/>
      <c r="E1140"/>
      <c r="F1140"/>
      <c r="G1140"/>
      <c r="H1140"/>
      <c r="I1140"/>
      <c r="J1140"/>
      <c r="K1140"/>
      <c r="L1140"/>
      <c r="M1140"/>
      <c r="N1140"/>
      <c r="O1140"/>
    </row>
    <row r="1141" spans="2:15" x14ac:dyDescent="0.25">
      <c r="B1141"/>
      <c r="C1141"/>
      <c r="D1141"/>
      <c r="E1141"/>
      <c r="F1141"/>
      <c r="G1141"/>
      <c r="H1141"/>
      <c r="I1141"/>
      <c r="J1141"/>
      <c r="K1141"/>
      <c r="L1141"/>
      <c r="M1141"/>
      <c r="N1141"/>
      <c r="O1141"/>
    </row>
    <row r="1142" spans="2:15" x14ac:dyDescent="0.25">
      <c r="B1142"/>
      <c r="C1142"/>
      <c r="D1142"/>
      <c r="E1142"/>
      <c r="F1142"/>
      <c r="G1142"/>
      <c r="H1142"/>
      <c r="I1142"/>
      <c r="J1142"/>
      <c r="K1142"/>
      <c r="L1142"/>
      <c r="M1142"/>
      <c r="N1142"/>
      <c r="O1142"/>
    </row>
    <row r="1143" spans="2:15" x14ac:dyDescent="0.25">
      <c r="B1143"/>
      <c r="C1143"/>
      <c r="D1143"/>
      <c r="E1143"/>
      <c r="F1143"/>
      <c r="G1143"/>
      <c r="H1143"/>
      <c r="I1143"/>
      <c r="J1143"/>
      <c r="K1143"/>
      <c r="L1143"/>
      <c r="M1143"/>
      <c r="N1143"/>
      <c r="O1143"/>
    </row>
    <row r="1144" spans="2:15" x14ac:dyDescent="0.25">
      <c r="B1144"/>
      <c r="C1144"/>
      <c r="D1144"/>
      <c r="E1144"/>
      <c r="F1144"/>
      <c r="G1144"/>
      <c r="H1144"/>
      <c r="I1144"/>
      <c r="J1144"/>
      <c r="K1144"/>
      <c r="L1144"/>
      <c r="M1144"/>
      <c r="N1144"/>
      <c r="O1144"/>
    </row>
    <row r="1145" spans="2:15" x14ac:dyDescent="0.25">
      <c r="B1145"/>
      <c r="C1145"/>
      <c r="D1145"/>
      <c r="E1145"/>
      <c r="F1145"/>
      <c r="G1145"/>
      <c r="H1145"/>
      <c r="I1145"/>
      <c r="J1145"/>
      <c r="K1145"/>
      <c r="L1145"/>
      <c r="M1145"/>
      <c r="N1145"/>
      <c r="O1145"/>
    </row>
    <row r="1146" spans="2:15" x14ac:dyDescent="0.25">
      <c r="B1146"/>
      <c r="C1146"/>
      <c r="D1146"/>
      <c r="E1146"/>
      <c r="F1146"/>
      <c r="G1146"/>
      <c r="H1146"/>
      <c r="I1146"/>
      <c r="J1146"/>
      <c r="K1146"/>
      <c r="L1146"/>
      <c r="M1146"/>
      <c r="N1146"/>
      <c r="O1146"/>
    </row>
    <row r="1147" spans="2:15" x14ac:dyDescent="0.25">
      <c r="B1147"/>
      <c r="C1147"/>
      <c r="D1147"/>
      <c r="E1147"/>
      <c r="F1147"/>
      <c r="G1147"/>
      <c r="H1147"/>
      <c r="I1147"/>
      <c r="J1147"/>
      <c r="K1147"/>
      <c r="L1147"/>
      <c r="M1147"/>
      <c r="N1147"/>
      <c r="O1147"/>
    </row>
    <row r="1148" spans="2:15" x14ac:dyDescent="0.25">
      <c r="B1148"/>
      <c r="C1148"/>
      <c r="D1148"/>
      <c r="E1148"/>
      <c r="F1148"/>
      <c r="G1148"/>
      <c r="H1148"/>
      <c r="I1148"/>
      <c r="J1148"/>
      <c r="K1148"/>
      <c r="L1148"/>
      <c r="M1148"/>
      <c r="N1148"/>
      <c r="O1148"/>
    </row>
    <row r="1149" spans="2:15" x14ac:dyDescent="0.25">
      <c r="B1149"/>
      <c r="C1149"/>
      <c r="D1149"/>
      <c r="E1149"/>
      <c r="F1149"/>
      <c r="G1149"/>
      <c r="H1149"/>
      <c r="I1149"/>
      <c r="J1149"/>
      <c r="K1149"/>
      <c r="L1149"/>
      <c r="M1149"/>
      <c r="N1149"/>
      <c r="O1149"/>
    </row>
    <row r="1150" spans="2:15" x14ac:dyDescent="0.25">
      <c r="B1150"/>
      <c r="C1150"/>
      <c r="D1150"/>
      <c r="E1150"/>
      <c r="F1150"/>
      <c r="G1150"/>
      <c r="H1150"/>
      <c r="I1150"/>
      <c r="J1150"/>
      <c r="K1150"/>
      <c r="L1150"/>
      <c r="M1150"/>
      <c r="N1150"/>
      <c r="O1150"/>
    </row>
    <row r="1151" spans="2:15" x14ac:dyDescent="0.25">
      <c r="B1151"/>
      <c r="C1151"/>
      <c r="D1151"/>
      <c r="E1151"/>
      <c r="F1151"/>
      <c r="G1151"/>
      <c r="H1151"/>
      <c r="I1151"/>
      <c r="J1151"/>
      <c r="K1151"/>
      <c r="L1151"/>
      <c r="M1151"/>
      <c r="N1151"/>
      <c r="O1151"/>
    </row>
    <row r="1152" spans="2:15" x14ac:dyDescent="0.25">
      <c r="B1152"/>
      <c r="C1152"/>
      <c r="D1152"/>
      <c r="E1152"/>
      <c r="F1152"/>
      <c r="G1152"/>
      <c r="H1152"/>
      <c r="I1152"/>
      <c r="J1152"/>
      <c r="K1152"/>
      <c r="L1152"/>
      <c r="M1152"/>
      <c r="N1152"/>
      <c r="O1152"/>
    </row>
    <row r="1153" spans="2:15" x14ac:dyDescent="0.25">
      <c r="B1153"/>
      <c r="C1153"/>
      <c r="D1153"/>
      <c r="E1153"/>
      <c r="F1153"/>
      <c r="G1153"/>
      <c r="H1153"/>
      <c r="I1153"/>
      <c r="J1153"/>
      <c r="K1153"/>
      <c r="L1153"/>
      <c r="M1153"/>
      <c r="N1153"/>
      <c r="O1153"/>
    </row>
    <row r="1154" spans="2:15" x14ac:dyDescent="0.25">
      <c r="B1154"/>
      <c r="C1154"/>
      <c r="D1154"/>
      <c r="E1154"/>
      <c r="F1154"/>
      <c r="G1154"/>
      <c r="H1154"/>
      <c r="I1154"/>
      <c r="J1154"/>
      <c r="K1154"/>
      <c r="L1154"/>
      <c r="M1154"/>
      <c r="N1154"/>
      <c r="O1154"/>
    </row>
    <row r="1155" spans="2:15" x14ac:dyDescent="0.25">
      <c r="B1155"/>
      <c r="C1155"/>
      <c r="D1155"/>
      <c r="E1155"/>
      <c r="F1155"/>
      <c r="G1155"/>
      <c r="H1155"/>
      <c r="I1155"/>
      <c r="J1155"/>
      <c r="K1155"/>
      <c r="L1155"/>
      <c r="M1155"/>
      <c r="N1155"/>
      <c r="O1155"/>
    </row>
    <row r="1156" spans="2:15" x14ac:dyDescent="0.25">
      <c r="B1156"/>
      <c r="C1156"/>
      <c r="D1156"/>
      <c r="E1156"/>
      <c r="F1156"/>
      <c r="G1156"/>
      <c r="H1156"/>
      <c r="I1156"/>
      <c r="J1156"/>
      <c r="K1156"/>
      <c r="L1156"/>
      <c r="M1156"/>
      <c r="N1156"/>
      <c r="O1156"/>
    </row>
    <row r="1157" spans="2:15" x14ac:dyDescent="0.25">
      <c r="B1157"/>
      <c r="C1157"/>
      <c r="D1157"/>
      <c r="E1157"/>
      <c r="F1157"/>
      <c r="G1157"/>
      <c r="H1157"/>
      <c r="I1157"/>
      <c r="J1157"/>
      <c r="K1157"/>
      <c r="L1157"/>
      <c r="M1157"/>
      <c r="N1157"/>
      <c r="O1157"/>
    </row>
    <row r="1158" spans="2:15" x14ac:dyDescent="0.25">
      <c r="B1158"/>
      <c r="C1158"/>
      <c r="D1158"/>
      <c r="E1158"/>
      <c r="F1158"/>
      <c r="G1158"/>
      <c r="H1158"/>
      <c r="I1158"/>
      <c r="J1158"/>
      <c r="K1158"/>
      <c r="L1158"/>
      <c r="M1158"/>
      <c r="N1158"/>
      <c r="O1158"/>
    </row>
    <row r="1159" spans="2:15" x14ac:dyDescent="0.25">
      <c r="B1159"/>
      <c r="C1159"/>
      <c r="D1159"/>
      <c r="E1159"/>
      <c r="F1159"/>
      <c r="G1159"/>
      <c r="H1159"/>
      <c r="I1159"/>
      <c r="J1159"/>
      <c r="K1159"/>
      <c r="L1159"/>
      <c r="M1159"/>
      <c r="N1159"/>
      <c r="O1159"/>
    </row>
    <row r="1160" spans="2:15" x14ac:dyDescent="0.25">
      <c r="B1160"/>
      <c r="C1160"/>
      <c r="D1160"/>
      <c r="E1160"/>
      <c r="F1160"/>
      <c r="G1160"/>
      <c r="H1160"/>
      <c r="I1160"/>
      <c r="J1160"/>
      <c r="K1160"/>
      <c r="L1160"/>
      <c r="M1160"/>
      <c r="N1160"/>
      <c r="O1160"/>
    </row>
    <row r="1161" spans="2:15" x14ac:dyDescent="0.25">
      <c r="B1161"/>
      <c r="C1161"/>
      <c r="D1161"/>
      <c r="E1161"/>
      <c r="F1161"/>
      <c r="G1161"/>
      <c r="H1161"/>
      <c r="I1161"/>
      <c r="J1161"/>
      <c r="K1161"/>
      <c r="L1161"/>
      <c r="M1161"/>
      <c r="N1161"/>
      <c r="O1161"/>
    </row>
    <row r="1162" spans="2:15" x14ac:dyDescent="0.25">
      <c r="B1162"/>
      <c r="C1162"/>
      <c r="D1162"/>
      <c r="E1162"/>
      <c r="F1162"/>
      <c r="G1162"/>
      <c r="H1162"/>
      <c r="I1162"/>
      <c r="J1162"/>
      <c r="K1162"/>
      <c r="L1162"/>
      <c r="M1162"/>
      <c r="N1162"/>
      <c r="O1162"/>
    </row>
    <row r="1163" spans="2:15" x14ac:dyDescent="0.25">
      <c r="B1163"/>
      <c r="C1163"/>
      <c r="D1163"/>
      <c r="E1163"/>
      <c r="F1163"/>
      <c r="G1163"/>
      <c r="H1163"/>
      <c r="I1163"/>
      <c r="J1163"/>
      <c r="K1163"/>
      <c r="L1163"/>
      <c r="M1163"/>
      <c r="N1163"/>
      <c r="O1163"/>
    </row>
    <row r="1164" spans="2:15" x14ac:dyDescent="0.25">
      <c r="B1164"/>
      <c r="C1164"/>
      <c r="D1164"/>
      <c r="E1164"/>
      <c r="F1164"/>
      <c r="G1164"/>
      <c r="H1164"/>
      <c r="I1164"/>
      <c r="J1164"/>
      <c r="K1164"/>
      <c r="L1164"/>
      <c r="M1164"/>
      <c r="N1164"/>
      <c r="O1164"/>
    </row>
    <row r="1165" spans="2:15" x14ac:dyDescent="0.25">
      <c r="B1165"/>
      <c r="C1165"/>
      <c r="D1165"/>
      <c r="E1165"/>
      <c r="F1165"/>
      <c r="G1165"/>
      <c r="H1165"/>
      <c r="I1165"/>
      <c r="J1165"/>
      <c r="K1165"/>
      <c r="L1165"/>
      <c r="M1165"/>
      <c r="N1165"/>
      <c r="O1165"/>
    </row>
    <row r="1166" spans="2:15" x14ac:dyDescent="0.25">
      <c r="B1166"/>
      <c r="C1166"/>
      <c r="D1166"/>
      <c r="E1166"/>
      <c r="F1166"/>
      <c r="G1166"/>
      <c r="H1166"/>
      <c r="I1166"/>
      <c r="J1166"/>
      <c r="K1166"/>
      <c r="L1166"/>
      <c r="M1166"/>
      <c r="N1166"/>
      <c r="O1166"/>
    </row>
    <row r="1167" spans="2:15" x14ac:dyDescent="0.25">
      <c r="B1167"/>
      <c r="C1167"/>
      <c r="D1167"/>
      <c r="E1167"/>
      <c r="F1167"/>
      <c r="G1167"/>
      <c r="H1167"/>
      <c r="I1167"/>
      <c r="J1167"/>
      <c r="K1167"/>
      <c r="L1167"/>
      <c r="M1167"/>
      <c r="N1167"/>
      <c r="O1167"/>
    </row>
    <row r="1168" spans="2:15" x14ac:dyDescent="0.25">
      <c r="B1168"/>
      <c r="C1168"/>
      <c r="D1168"/>
      <c r="E1168"/>
      <c r="F1168"/>
      <c r="G1168"/>
      <c r="H1168"/>
      <c r="I1168"/>
      <c r="J1168"/>
      <c r="K1168"/>
      <c r="L1168"/>
      <c r="M1168"/>
      <c r="N1168"/>
      <c r="O1168"/>
    </row>
    <row r="1169" spans="2:15" x14ac:dyDescent="0.25">
      <c r="B1169"/>
      <c r="C1169"/>
      <c r="D1169"/>
      <c r="E1169"/>
      <c r="F1169"/>
      <c r="G1169"/>
      <c r="H1169"/>
      <c r="I1169"/>
      <c r="J1169"/>
      <c r="K1169"/>
      <c r="L1169"/>
      <c r="M1169"/>
      <c r="N1169"/>
      <c r="O1169"/>
    </row>
    <row r="1170" spans="2:15" x14ac:dyDescent="0.25">
      <c r="B1170"/>
      <c r="C1170"/>
      <c r="D1170"/>
      <c r="E1170"/>
      <c r="F1170"/>
      <c r="G1170"/>
      <c r="H1170"/>
      <c r="I1170"/>
      <c r="J1170"/>
      <c r="K1170"/>
      <c r="L1170"/>
      <c r="M1170"/>
      <c r="N1170"/>
      <c r="O1170"/>
    </row>
    <row r="1171" spans="2:15" x14ac:dyDescent="0.25">
      <c r="B1171"/>
      <c r="C1171"/>
      <c r="D1171"/>
      <c r="E1171"/>
      <c r="F1171"/>
      <c r="G1171"/>
      <c r="H1171"/>
      <c r="I1171"/>
      <c r="J1171"/>
      <c r="K1171"/>
      <c r="L1171"/>
      <c r="M1171"/>
      <c r="N1171"/>
      <c r="O1171"/>
    </row>
    <row r="1172" spans="2:15" x14ac:dyDescent="0.25">
      <c r="B1172"/>
      <c r="C1172"/>
      <c r="D1172"/>
      <c r="E1172"/>
      <c r="F1172"/>
      <c r="G1172"/>
      <c r="H1172"/>
      <c r="I1172"/>
      <c r="J1172"/>
      <c r="K1172"/>
      <c r="L1172"/>
      <c r="M1172"/>
      <c r="N1172"/>
      <c r="O1172"/>
    </row>
    <row r="1173" spans="2:15" x14ac:dyDescent="0.25">
      <c r="B1173"/>
      <c r="C1173"/>
      <c r="D1173"/>
      <c r="E1173"/>
      <c r="F1173"/>
      <c r="G1173"/>
      <c r="H1173"/>
      <c r="I1173"/>
      <c r="J1173"/>
      <c r="K1173"/>
      <c r="L1173"/>
      <c r="M1173"/>
      <c r="N1173"/>
      <c r="O1173"/>
    </row>
    <row r="1174" spans="2:15" x14ac:dyDescent="0.25">
      <c r="B1174"/>
      <c r="C1174"/>
      <c r="D1174"/>
      <c r="E1174"/>
      <c r="F1174"/>
      <c r="G1174"/>
      <c r="H1174"/>
      <c r="I1174"/>
      <c r="J1174"/>
      <c r="K1174"/>
      <c r="L1174"/>
      <c r="M1174"/>
      <c r="N1174"/>
      <c r="O1174"/>
    </row>
    <row r="1175" spans="2:15" x14ac:dyDescent="0.25">
      <c r="B1175"/>
      <c r="C1175"/>
      <c r="D1175"/>
      <c r="E1175"/>
      <c r="F1175"/>
      <c r="G1175"/>
      <c r="H1175"/>
      <c r="I1175"/>
      <c r="J1175"/>
      <c r="K1175"/>
      <c r="L1175"/>
      <c r="M1175"/>
      <c r="N1175"/>
      <c r="O1175"/>
    </row>
    <row r="1176" spans="2:15" x14ac:dyDescent="0.25">
      <c r="B1176"/>
      <c r="C1176"/>
      <c r="D1176"/>
      <c r="E1176"/>
      <c r="F1176"/>
      <c r="G1176"/>
      <c r="H1176"/>
      <c r="I1176"/>
      <c r="J1176"/>
      <c r="K1176"/>
      <c r="L1176"/>
      <c r="M1176"/>
      <c r="N1176"/>
      <c r="O1176"/>
    </row>
    <row r="1177" spans="2:15" x14ac:dyDescent="0.25">
      <c r="B1177"/>
      <c r="C1177"/>
      <c r="D1177"/>
      <c r="E1177"/>
      <c r="F1177"/>
      <c r="G1177"/>
      <c r="H1177"/>
      <c r="I1177"/>
      <c r="J1177"/>
      <c r="K1177"/>
      <c r="L1177"/>
      <c r="M1177"/>
      <c r="N1177"/>
      <c r="O1177"/>
    </row>
    <row r="1178" spans="2:15" x14ac:dyDescent="0.25">
      <c r="B1178"/>
      <c r="C1178"/>
      <c r="D1178"/>
      <c r="E1178"/>
      <c r="F1178"/>
      <c r="G1178"/>
      <c r="H1178"/>
      <c r="I1178"/>
      <c r="J1178"/>
      <c r="K1178"/>
      <c r="L1178"/>
      <c r="M1178"/>
      <c r="N1178"/>
      <c r="O1178"/>
    </row>
    <row r="1179" spans="2:15" x14ac:dyDescent="0.25">
      <c r="B1179"/>
      <c r="C1179"/>
      <c r="D1179"/>
      <c r="E1179"/>
      <c r="F1179"/>
      <c r="G1179"/>
      <c r="H1179"/>
      <c r="I1179"/>
      <c r="J1179"/>
      <c r="K1179"/>
      <c r="L1179"/>
      <c r="M1179"/>
      <c r="N1179"/>
      <c r="O1179"/>
    </row>
    <row r="1180" spans="2:15" x14ac:dyDescent="0.25">
      <c r="B1180"/>
      <c r="C1180"/>
      <c r="D1180"/>
      <c r="E1180"/>
      <c r="F1180"/>
      <c r="G1180"/>
      <c r="H1180"/>
      <c r="I1180"/>
      <c r="J1180"/>
      <c r="K1180"/>
      <c r="L1180"/>
      <c r="M1180"/>
      <c r="N1180"/>
      <c r="O1180"/>
    </row>
    <row r="1181" spans="2:15" x14ac:dyDescent="0.25">
      <c r="B1181"/>
      <c r="C1181"/>
      <c r="D1181"/>
      <c r="E1181"/>
      <c r="F1181"/>
      <c r="G1181"/>
      <c r="H1181"/>
      <c r="I1181"/>
      <c r="J1181"/>
      <c r="K1181"/>
      <c r="L1181"/>
      <c r="M1181"/>
      <c r="N1181"/>
      <c r="O1181"/>
    </row>
    <row r="1182" spans="2:15" x14ac:dyDescent="0.25">
      <c r="B1182"/>
      <c r="C1182"/>
      <c r="D1182"/>
      <c r="E1182"/>
      <c r="F1182"/>
      <c r="G1182"/>
      <c r="H1182"/>
      <c r="I1182"/>
      <c r="J1182"/>
      <c r="K1182"/>
      <c r="L1182"/>
      <c r="M1182"/>
      <c r="N1182"/>
      <c r="O1182"/>
    </row>
    <row r="1183" spans="2:15" x14ac:dyDescent="0.25">
      <c r="B1183"/>
      <c r="C1183"/>
      <c r="D1183"/>
      <c r="E1183"/>
      <c r="F1183"/>
      <c r="G1183"/>
      <c r="H1183"/>
      <c r="I1183"/>
      <c r="J1183"/>
      <c r="K1183"/>
      <c r="L1183"/>
      <c r="M1183"/>
      <c r="N1183"/>
      <c r="O1183"/>
    </row>
    <row r="1184" spans="2:15" x14ac:dyDescent="0.25">
      <c r="B1184"/>
      <c r="C1184"/>
      <c r="D1184"/>
      <c r="E1184"/>
      <c r="F1184"/>
      <c r="G1184"/>
      <c r="H1184"/>
      <c r="I1184"/>
      <c r="J1184"/>
      <c r="K1184"/>
      <c r="L1184"/>
      <c r="M1184"/>
      <c r="N1184"/>
      <c r="O1184"/>
    </row>
    <row r="1185" spans="2:15" x14ac:dyDescent="0.25">
      <c r="B1185"/>
      <c r="C1185"/>
      <c r="D1185"/>
      <c r="E1185"/>
      <c r="F1185"/>
      <c r="G1185"/>
      <c r="H1185"/>
      <c r="I1185"/>
      <c r="J1185"/>
      <c r="K1185"/>
      <c r="L1185"/>
      <c r="M1185"/>
      <c r="N1185"/>
      <c r="O1185"/>
    </row>
    <row r="1186" spans="2:15" x14ac:dyDescent="0.25">
      <c r="B1186"/>
      <c r="C1186"/>
      <c r="D1186"/>
      <c r="E1186"/>
      <c r="F1186"/>
      <c r="G1186"/>
      <c r="H1186"/>
      <c r="I1186"/>
      <c r="J1186"/>
      <c r="K1186"/>
      <c r="L1186"/>
      <c r="M1186"/>
      <c r="N1186"/>
      <c r="O1186"/>
    </row>
    <row r="1187" spans="2:15" x14ac:dyDescent="0.25">
      <c r="B1187"/>
      <c r="C1187"/>
      <c r="D1187"/>
      <c r="E1187"/>
      <c r="F1187"/>
      <c r="G1187"/>
      <c r="H1187"/>
      <c r="I1187"/>
      <c r="J1187"/>
      <c r="K1187"/>
      <c r="L1187"/>
      <c r="M1187"/>
      <c r="N1187"/>
      <c r="O1187"/>
    </row>
    <row r="1188" spans="2:15" x14ac:dyDescent="0.25">
      <c r="B1188"/>
      <c r="C1188"/>
      <c r="D1188"/>
      <c r="E1188"/>
      <c r="F1188"/>
      <c r="G1188"/>
      <c r="H1188"/>
      <c r="I1188"/>
      <c r="J1188"/>
      <c r="K1188"/>
      <c r="L1188"/>
      <c r="M1188"/>
      <c r="N1188"/>
      <c r="O1188"/>
    </row>
    <row r="1189" spans="2:15" x14ac:dyDescent="0.25">
      <c r="B1189"/>
      <c r="C1189"/>
      <c r="D1189"/>
      <c r="E1189"/>
      <c r="F1189"/>
      <c r="G1189"/>
      <c r="H1189"/>
      <c r="I1189"/>
      <c r="J1189"/>
      <c r="K1189"/>
      <c r="L1189"/>
      <c r="M1189"/>
      <c r="N1189"/>
      <c r="O1189"/>
    </row>
    <row r="1190" spans="2:15" x14ac:dyDescent="0.25">
      <c r="B1190"/>
      <c r="C1190"/>
      <c r="D1190"/>
      <c r="E1190"/>
      <c r="F1190"/>
      <c r="G1190"/>
      <c r="H1190"/>
      <c r="I1190"/>
      <c r="J1190"/>
      <c r="K1190"/>
      <c r="L1190"/>
      <c r="M1190"/>
      <c r="N1190"/>
      <c r="O1190"/>
    </row>
    <row r="1191" spans="2:15" x14ac:dyDescent="0.25">
      <c r="B1191"/>
      <c r="C1191"/>
      <c r="D1191"/>
      <c r="E1191"/>
      <c r="F1191"/>
      <c r="G1191"/>
      <c r="H1191"/>
      <c r="I1191"/>
      <c r="J1191"/>
      <c r="K1191"/>
      <c r="L1191"/>
      <c r="M1191"/>
      <c r="N1191"/>
      <c r="O1191"/>
    </row>
    <row r="1192" spans="2:15" x14ac:dyDescent="0.25">
      <c r="B1192"/>
      <c r="C1192"/>
      <c r="D1192"/>
      <c r="E1192"/>
      <c r="F1192"/>
      <c r="G1192"/>
      <c r="H1192"/>
      <c r="I1192"/>
      <c r="J1192"/>
      <c r="K1192"/>
      <c r="L1192"/>
      <c r="M1192"/>
      <c r="N1192"/>
      <c r="O1192"/>
    </row>
    <row r="1193" spans="2:15" x14ac:dyDescent="0.25">
      <c r="B1193"/>
      <c r="C1193"/>
      <c r="D1193"/>
      <c r="E1193"/>
      <c r="F1193"/>
      <c r="G1193"/>
      <c r="H1193"/>
      <c r="I1193"/>
      <c r="J1193"/>
      <c r="K1193"/>
      <c r="L1193"/>
      <c r="M1193"/>
      <c r="N1193"/>
      <c r="O1193"/>
    </row>
    <row r="1194" spans="2:15" x14ac:dyDescent="0.25">
      <c r="B1194"/>
      <c r="C1194"/>
      <c r="D1194"/>
      <c r="E1194"/>
      <c r="F1194"/>
      <c r="G1194"/>
      <c r="H1194"/>
      <c r="I1194"/>
      <c r="J1194"/>
      <c r="K1194"/>
      <c r="L1194"/>
      <c r="M1194"/>
      <c r="N1194"/>
      <c r="O1194"/>
    </row>
    <row r="1195" spans="2:15" x14ac:dyDescent="0.25">
      <c r="B1195"/>
      <c r="C1195"/>
      <c r="D1195"/>
      <c r="E1195"/>
      <c r="F1195"/>
      <c r="G1195"/>
      <c r="H1195"/>
      <c r="I1195"/>
      <c r="J1195"/>
      <c r="K1195"/>
      <c r="L1195"/>
      <c r="M1195"/>
      <c r="N1195"/>
      <c r="O1195"/>
    </row>
    <row r="1196" spans="2:15" x14ac:dyDescent="0.25">
      <c r="B1196"/>
      <c r="C1196"/>
      <c r="D1196"/>
      <c r="E1196"/>
      <c r="F1196"/>
      <c r="G1196"/>
      <c r="H1196"/>
      <c r="I1196"/>
      <c r="J1196"/>
      <c r="K1196"/>
      <c r="L1196"/>
      <c r="M1196"/>
      <c r="N1196"/>
      <c r="O1196"/>
    </row>
    <row r="1197" spans="2:15" x14ac:dyDescent="0.25">
      <c r="B1197"/>
      <c r="C1197"/>
      <c r="D1197"/>
      <c r="E1197"/>
      <c r="F1197"/>
      <c r="G1197"/>
      <c r="H1197"/>
      <c r="I1197"/>
      <c r="J1197"/>
      <c r="K1197"/>
      <c r="L1197"/>
      <c r="M1197"/>
      <c r="N1197"/>
      <c r="O1197"/>
    </row>
    <row r="1198" spans="2:15" x14ac:dyDescent="0.25">
      <c r="B1198"/>
      <c r="C1198"/>
      <c r="D1198"/>
      <c r="E1198"/>
      <c r="F1198"/>
      <c r="G1198"/>
      <c r="H1198"/>
      <c r="I1198"/>
      <c r="J1198"/>
      <c r="K1198"/>
      <c r="L1198"/>
      <c r="M1198"/>
      <c r="N1198"/>
      <c r="O1198"/>
    </row>
    <row r="1199" spans="2:15" x14ac:dyDescent="0.25">
      <c r="B1199"/>
      <c r="C1199"/>
      <c r="D1199"/>
      <c r="E1199"/>
      <c r="F1199"/>
      <c r="G1199"/>
      <c r="H1199"/>
      <c r="I1199"/>
      <c r="J1199"/>
      <c r="K1199"/>
      <c r="L1199"/>
      <c r="M1199"/>
      <c r="N1199"/>
      <c r="O1199"/>
    </row>
    <row r="1200" spans="2:15" x14ac:dyDescent="0.25">
      <c r="B1200"/>
      <c r="C1200"/>
      <c r="D1200"/>
      <c r="E1200"/>
      <c r="F1200"/>
      <c r="G1200"/>
      <c r="H1200"/>
      <c r="I1200"/>
      <c r="J1200"/>
      <c r="K1200"/>
      <c r="L1200"/>
      <c r="M1200"/>
      <c r="N1200"/>
      <c r="O1200"/>
    </row>
    <row r="1201" spans="2:15" x14ac:dyDescent="0.25">
      <c r="B1201"/>
      <c r="C1201"/>
      <c r="D1201"/>
      <c r="E1201"/>
      <c r="F1201"/>
      <c r="G1201"/>
      <c r="H1201"/>
      <c r="I1201"/>
      <c r="J1201"/>
      <c r="K1201"/>
      <c r="L1201"/>
      <c r="M1201"/>
      <c r="N1201"/>
      <c r="O1201"/>
    </row>
    <row r="1202" spans="2:15" x14ac:dyDescent="0.25">
      <c r="B1202"/>
      <c r="C1202"/>
      <c r="D1202"/>
      <c r="E1202"/>
      <c r="F1202"/>
      <c r="G1202"/>
      <c r="H1202"/>
      <c r="I1202"/>
      <c r="J1202"/>
      <c r="K1202"/>
      <c r="L1202"/>
      <c r="M1202"/>
      <c r="N1202"/>
      <c r="O1202"/>
    </row>
    <row r="1203" spans="2:15" x14ac:dyDescent="0.25">
      <c r="B1203"/>
      <c r="C1203"/>
      <c r="D1203"/>
      <c r="E1203"/>
      <c r="F1203"/>
      <c r="G1203"/>
      <c r="H1203"/>
      <c r="I1203"/>
      <c r="J1203"/>
      <c r="K1203"/>
      <c r="L1203"/>
      <c r="M1203"/>
      <c r="N1203"/>
      <c r="O1203"/>
    </row>
    <row r="1204" spans="2:15" x14ac:dyDescent="0.25">
      <c r="B1204"/>
      <c r="C1204"/>
      <c r="D1204"/>
      <c r="E1204"/>
      <c r="F1204"/>
      <c r="G1204"/>
      <c r="H1204"/>
      <c r="I1204"/>
      <c r="J1204"/>
      <c r="K1204"/>
      <c r="L1204"/>
      <c r="M1204"/>
      <c r="N1204"/>
      <c r="O1204"/>
    </row>
    <row r="1205" spans="2:15" x14ac:dyDescent="0.25">
      <c r="B1205"/>
      <c r="C1205"/>
      <c r="D1205"/>
      <c r="E1205"/>
      <c r="F1205"/>
      <c r="G1205"/>
      <c r="H1205"/>
      <c r="I1205"/>
      <c r="J1205"/>
      <c r="K1205"/>
      <c r="L1205"/>
      <c r="M1205"/>
      <c r="N1205"/>
      <c r="O1205"/>
    </row>
    <row r="1206" spans="2:15" x14ac:dyDescent="0.25">
      <c r="B1206"/>
      <c r="C1206"/>
      <c r="D1206"/>
      <c r="E1206"/>
      <c r="F1206"/>
      <c r="G1206"/>
      <c r="H1206"/>
      <c r="I1206"/>
      <c r="J1206"/>
      <c r="K1206"/>
      <c r="L1206"/>
      <c r="M1206"/>
      <c r="N1206"/>
      <c r="O1206"/>
    </row>
    <row r="1207" spans="2:15" x14ac:dyDescent="0.25">
      <c r="B1207"/>
      <c r="C1207"/>
      <c r="D1207"/>
      <c r="E1207"/>
      <c r="F1207"/>
      <c r="G1207"/>
      <c r="H1207"/>
      <c r="I1207"/>
      <c r="J1207"/>
      <c r="K1207"/>
      <c r="L1207"/>
      <c r="M1207"/>
      <c r="N1207"/>
      <c r="O1207"/>
    </row>
    <row r="1208" spans="2:15" x14ac:dyDescent="0.25">
      <c r="B1208"/>
      <c r="C1208"/>
      <c r="D1208"/>
      <c r="E1208"/>
      <c r="F1208"/>
      <c r="G1208"/>
      <c r="H1208"/>
      <c r="I1208"/>
      <c r="J1208"/>
      <c r="K1208"/>
      <c r="L1208"/>
      <c r="M1208"/>
      <c r="N1208"/>
      <c r="O1208"/>
    </row>
    <row r="1209" spans="2:15" x14ac:dyDescent="0.25">
      <c r="B1209"/>
      <c r="C1209"/>
      <c r="D1209"/>
      <c r="E1209"/>
      <c r="F1209"/>
      <c r="G1209"/>
      <c r="H1209"/>
      <c r="I1209"/>
      <c r="J1209"/>
      <c r="K1209"/>
      <c r="L1209"/>
      <c r="M1209"/>
      <c r="N1209"/>
      <c r="O1209"/>
    </row>
    <row r="1210" spans="2:15" x14ac:dyDescent="0.25">
      <c r="B1210"/>
      <c r="C1210"/>
      <c r="D1210"/>
      <c r="E1210"/>
      <c r="F1210"/>
      <c r="G1210"/>
      <c r="H1210"/>
      <c r="I1210"/>
      <c r="J1210"/>
      <c r="K1210"/>
      <c r="L1210"/>
      <c r="M1210"/>
      <c r="N1210"/>
      <c r="O1210"/>
    </row>
    <row r="1211" spans="2:15" x14ac:dyDescent="0.25">
      <c r="B1211"/>
      <c r="C1211"/>
      <c r="D1211"/>
      <c r="E1211"/>
      <c r="F1211"/>
      <c r="G1211"/>
      <c r="H1211"/>
      <c r="I1211"/>
      <c r="J1211"/>
      <c r="K1211"/>
      <c r="L1211"/>
      <c r="M1211"/>
      <c r="N1211"/>
      <c r="O1211"/>
    </row>
    <row r="1212" spans="2:15" x14ac:dyDescent="0.25">
      <c r="B1212"/>
      <c r="C1212"/>
      <c r="D1212"/>
      <c r="E1212"/>
      <c r="F1212"/>
      <c r="G1212"/>
      <c r="H1212"/>
      <c r="I1212"/>
      <c r="J1212"/>
      <c r="K1212"/>
      <c r="L1212"/>
      <c r="M1212"/>
      <c r="N1212"/>
      <c r="O1212"/>
    </row>
    <row r="1213" spans="2:15" x14ac:dyDescent="0.25">
      <c r="B1213"/>
      <c r="C1213"/>
      <c r="D1213"/>
      <c r="E1213"/>
      <c r="F1213"/>
      <c r="G1213"/>
      <c r="H1213"/>
      <c r="I1213"/>
      <c r="J1213"/>
      <c r="K1213"/>
      <c r="L1213"/>
      <c r="M1213"/>
      <c r="N1213"/>
      <c r="O1213"/>
    </row>
    <row r="1214" spans="2:15" x14ac:dyDescent="0.25">
      <c r="B1214"/>
      <c r="C1214"/>
      <c r="D1214"/>
      <c r="E1214"/>
      <c r="F1214"/>
      <c r="G1214"/>
      <c r="H1214"/>
      <c r="I1214"/>
      <c r="J1214"/>
      <c r="K1214"/>
      <c r="L1214"/>
      <c r="M1214"/>
      <c r="N1214"/>
      <c r="O1214"/>
    </row>
    <row r="1215" spans="2:15" x14ac:dyDescent="0.25">
      <c r="B1215"/>
      <c r="C1215"/>
      <c r="D1215"/>
      <c r="E1215"/>
      <c r="F1215"/>
      <c r="G1215"/>
      <c r="H1215"/>
      <c r="I1215"/>
      <c r="J1215"/>
      <c r="K1215"/>
      <c r="L1215"/>
      <c r="M1215"/>
      <c r="N1215"/>
      <c r="O1215"/>
    </row>
    <row r="1216" spans="2:15" x14ac:dyDescent="0.25">
      <c r="B1216"/>
      <c r="C1216"/>
      <c r="D1216"/>
      <c r="E1216"/>
      <c r="F1216"/>
      <c r="G1216"/>
      <c r="H1216"/>
      <c r="I1216"/>
      <c r="J1216"/>
      <c r="K1216"/>
      <c r="L1216"/>
      <c r="M1216"/>
      <c r="N1216"/>
      <c r="O1216"/>
    </row>
    <row r="1217" spans="2:15" x14ac:dyDescent="0.25">
      <c r="B1217"/>
      <c r="C1217"/>
      <c r="D1217"/>
      <c r="E1217"/>
      <c r="F1217"/>
      <c r="G1217"/>
      <c r="H1217"/>
      <c r="I1217"/>
      <c r="J1217"/>
      <c r="K1217"/>
      <c r="L1217"/>
      <c r="M1217"/>
      <c r="N1217"/>
      <c r="O1217"/>
    </row>
    <row r="1218" spans="2:15" x14ac:dyDescent="0.25">
      <c r="B1218"/>
      <c r="C1218"/>
      <c r="D1218"/>
      <c r="E1218"/>
      <c r="F1218"/>
      <c r="G1218"/>
      <c r="H1218"/>
      <c r="I1218"/>
      <c r="J1218"/>
      <c r="K1218"/>
      <c r="L1218"/>
      <c r="M1218"/>
      <c r="N1218"/>
      <c r="O1218"/>
    </row>
    <row r="1219" spans="2:15" x14ac:dyDescent="0.25">
      <c r="B1219"/>
      <c r="C1219"/>
      <c r="D1219"/>
      <c r="E1219"/>
      <c r="F1219"/>
      <c r="G1219"/>
      <c r="H1219"/>
      <c r="I1219"/>
      <c r="J1219"/>
      <c r="K1219"/>
      <c r="L1219"/>
      <c r="M1219"/>
      <c r="N1219"/>
      <c r="O1219"/>
    </row>
    <row r="1220" spans="2:15" x14ac:dyDescent="0.25">
      <c r="B1220"/>
      <c r="C1220"/>
      <c r="D1220"/>
      <c r="E1220"/>
      <c r="F1220"/>
      <c r="G1220"/>
      <c r="H1220"/>
      <c r="I1220"/>
      <c r="J1220"/>
      <c r="K1220"/>
      <c r="L1220"/>
      <c r="M1220"/>
      <c r="N1220"/>
      <c r="O1220"/>
    </row>
    <row r="1221" spans="2:15" x14ac:dyDescent="0.25">
      <c r="B1221"/>
      <c r="C1221"/>
      <c r="D1221"/>
      <c r="E1221"/>
      <c r="F1221"/>
      <c r="G1221"/>
      <c r="H1221"/>
      <c r="I1221"/>
      <c r="J1221"/>
      <c r="K1221"/>
      <c r="L1221"/>
      <c r="M1221"/>
      <c r="N1221"/>
      <c r="O1221"/>
    </row>
    <row r="1222" spans="2:15" x14ac:dyDescent="0.25">
      <c r="B1222"/>
      <c r="C1222"/>
      <c r="D1222"/>
      <c r="E1222"/>
      <c r="F1222"/>
      <c r="G1222"/>
      <c r="H1222"/>
      <c r="I1222"/>
      <c r="J1222"/>
      <c r="K1222"/>
      <c r="L1222"/>
      <c r="M1222"/>
      <c r="N1222"/>
      <c r="O1222"/>
    </row>
    <row r="1223" spans="2:15" x14ac:dyDescent="0.25">
      <c r="B1223"/>
      <c r="C1223"/>
      <c r="D1223"/>
      <c r="E1223"/>
      <c r="F1223"/>
      <c r="G1223"/>
      <c r="H1223"/>
      <c r="I1223"/>
      <c r="J1223"/>
      <c r="K1223"/>
      <c r="L1223"/>
      <c r="M1223"/>
      <c r="N1223"/>
      <c r="O1223"/>
    </row>
    <row r="1224" spans="2:15" x14ac:dyDescent="0.25">
      <c r="B1224"/>
      <c r="C1224"/>
      <c r="D1224"/>
      <c r="E1224"/>
      <c r="F1224"/>
      <c r="G1224"/>
      <c r="H1224"/>
      <c r="I1224"/>
      <c r="J1224"/>
      <c r="K1224"/>
      <c r="L1224"/>
      <c r="M1224"/>
      <c r="N1224"/>
      <c r="O1224"/>
    </row>
    <row r="1225" spans="2:15" x14ac:dyDescent="0.25">
      <c r="B1225"/>
      <c r="C1225"/>
      <c r="D1225"/>
      <c r="E1225"/>
      <c r="F1225"/>
      <c r="G1225"/>
      <c r="H1225"/>
      <c r="I1225"/>
      <c r="J1225"/>
      <c r="K1225"/>
      <c r="L1225"/>
      <c r="M1225"/>
      <c r="N1225"/>
      <c r="O1225"/>
    </row>
    <row r="1226" spans="2:15" x14ac:dyDescent="0.25">
      <c r="B1226"/>
      <c r="C1226"/>
      <c r="D1226"/>
      <c r="E1226"/>
      <c r="F1226"/>
      <c r="G1226"/>
      <c r="H1226"/>
      <c r="I1226"/>
      <c r="J1226"/>
      <c r="K1226"/>
      <c r="L1226"/>
      <c r="M1226"/>
      <c r="N1226"/>
      <c r="O1226"/>
    </row>
    <row r="1227" spans="2:15" x14ac:dyDescent="0.25">
      <c r="B1227"/>
      <c r="C1227"/>
      <c r="D1227"/>
      <c r="E1227"/>
      <c r="F1227"/>
      <c r="G1227"/>
      <c r="H1227"/>
      <c r="I1227"/>
      <c r="J1227"/>
      <c r="K1227"/>
      <c r="L1227"/>
      <c r="M1227"/>
      <c r="N1227"/>
      <c r="O1227"/>
    </row>
    <row r="1228" spans="2:15" x14ac:dyDescent="0.25">
      <c r="B1228"/>
      <c r="C1228"/>
      <c r="D1228"/>
      <c r="E1228"/>
      <c r="F1228"/>
      <c r="G1228"/>
      <c r="H1228"/>
      <c r="I1228"/>
      <c r="J1228"/>
      <c r="K1228"/>
      <c r="L1228"/>
      <c r="M1228"/>
      <c r="N1228"/>
      <c r="O1228"/>
    </row>
    <row r="1229" spans="2:15" x14ac:dyDescent="0.25">
      <c r="B1229"/>
      <c r="C1229"/>
      <c r="D1229"/>
      <c r="E1229"/>
      <c r="F1229"/>
      <c r="G1229"/>
      <c r="H1229"/>
      <c r="I1229"/>
      <c r="J1229"/>
      <c r="K1229"/>
      <c r="L1229"/>
      <c r="M1229"/>
      <c r="N1229"/>
      <c r="O1229"/>
    </row>
    <row r="1230" spans="2:15" x14ac:dyDescent="0.25">
      <c r="B1230"/>
      <c r="C1230"/>
      <c r="D1230"/>
      <c r="E1230"/>
      <c r="F1230"/>
      <c r="G1230"/>
      <c r="H1230"/>
      <c r="I1230"/>
      <c r="J1230"/>
      <c r="K1230"/>
      <c r="L1230"/>
      <c r="M1230"/>
      <c r="N1230"/>
      <c r="O1230"/>
    </row>
    <row r="1231" spans="2:15" x14ac:dyDescent="0.25">
      <c r="B1231"/>
      <c r="C1231"/>
      <c r="D1231"/>
      <c r="E1231"/>
      <c r="F1231"/>
      <c r="G1231"/>
      <c r="H1231"/>
      <c r="I1231"/>
      <c r="J1231"/>
      <c r="K1231"/>
      <c r="L1231"/>
      <c r="M1231"/>
      <c r="N1231"/>
      <c r="O1231"/>
    </row>
    <row r="1232" spans="2:15" x14ac:dyDescent="0.25">
      <c r="B1232"/>
      <c r="C1232"/>
      <c r="D1232"/>
      <c r="E1232"/>
      <c r="F1232"/>
      <c r="G1232"/>
      <c r="H1232"/>
      <c r="I1232"/>
      <c r="J1232"/>
      <c r="K1232"/>
      <c r="L1232"/>
      <c r="M1232"/>
      <c r="N1232"/>
      <c r="O1232"/>
    </row>
    <row r="1233" spans="2:15" x14ac:dyDescent="0.25">
      <c r="B1233"/>
      <c r="C1233"/>
      <c r="D1233"/>
      <c r="E1233"/>
      <c r="F1233"/>
      <c r="G1233"/>
      <c r="H1233"/>
      <c r="I1233"/>
      <c r="J1233"/>
      <c r="K1233"/>
      <c r="L1233"/>
      <c r="M1233"/>
      <c r="N1233"/>
      <c r="O1233"/>
    </row>
    <row r="1234" spans="2:15" x14ac:dyDescent="0.25">
      <c r="B1234"/>
      <c r="C1234"/>
      <c r="D1234"/>
      <c r="E1234"/>
      <c r="F1234"/>
      <c r="G1234"/>
      <c r="H1234"/>
      <c r="I1234"/>
      <c r="J1234"/>
      <c r="K1234"/>
      <c r="L1234"/>
      <c r="M1234"/>
      <c r="N1234"/>
      <c r="O1234"/>
    </row>
    <row r="1235" spans="2:15" x14ac:dyDescent="0.25">
      <c r="B1235"/>
      <c r="C1235"/>
      <c r="D1235"/>
      <c r="E1235"/>
      <c r="F1235"/>
      <c r="G1235"/>
      <c r="H1235"/>
      <c r="I1235"/>
      <c r="J1235"/>
      <c r="K1235"/>
      <c r="L1235"/>
      <c r="M1235"/>
      <c r="N1235"/>
      <c r="O1235"/>
    </row>
    <row r="1236" spans="2:15" x14ac:dyDescent="0.25">
      <c r="B1236"/>
      <c r="C1236"/>
      <c r="D1236"/>
      <c r="E1236"/>
      <c r="F1236"/>
      <c r="G1236"/>
      <c r="H1236"/>
      <c r="I1236"/>
      <c r="J1236"/>
      <c r="K1236"/>
      <c r="L1236"/>
      <c r="M1236"/>
      <c r="N1236"/>
      <c r="O1236"/>
    </row>
    <row r="1237" spans="2:15" x14ac:dyDescent="0.25">
      <c r="B1237"/>
      <c r="C1237"/>
      <c r="D1237"/>
      <c r="E1237"/>
      <c r="F1237"/>
      <c r="G1237"/>
      <c r="H1237"/>
      <c r="I1237"/>
      <c r="J1237"/>
      <c r="K1237"/>
      <c r="L1237"/>
      <c r="M1237"/>
      <c r="N1237"/>
      <c r="O1237"/>
    </row>
    <row r="1238" spans="2:15" x14ac:dyDescent="0.25">
      <c r="B1238"/>
      <c r="C1238"/>
      <c r="D1238"/>
      <c r="E1238"/>
      <c r="F1238"/>
      <c r="G1238"/>
      <c r="H1238"/>
      <c r="I1238"/>
      <c r="J1238"/>
      <c r="K1238"/>
      <c r="L1238"/>
      <c r="M1238"/>
      <c r="N1238"/>
      <c r="O1238"/>
    </row>
    <row r="1239" spans="2:15" x14ac:dyDescent="0.25">
      <c r="B1239"/>
      <c r="C1239"/>
      <c r="D1239"/>
      <c r="E1239"/>
      <c r="F1239"/>
      <c r="G1239"/>
      <c r="H1239"/>
      <c r="I1239"/>
      <c r="J1239"/>
      <c r="K1239"/>
      <c r="L1239"/>
      <c r="M1239"/>
      <c r="N1239"/>
      <c r="O1239"/>
    </row>
    <row r="1240" spans="2:15" x14ac:dyDescent="0.25">
      <c r="B1240"/>
      <c r="C1240"/>
      <c r="D1240"/>
      <c r="E1240"/>
      <c r="F1240"/>
      <c r="G1240"/>
      <c r="H1240"/>
      <c r="I1240"/>
      <c r="J1240"/>
      <c r="K1240"/>
      <c r="L1240"/>
      <c r="M1240"/>
      <c r="N1240"/>
      <c r="O1240"/>
    </row>
    <row r="1241" spans="2:15" x14ac:dyDescent="0.25">
      <c r="B1241"/>
      <c r="C1241"/>
      <c r="D1241"/>
      <c r="E1241"/>
      <c r="F1241"/>
      <c r="G1241"/>
      <c r="H1241"/>
      <c r="I1241"/>
      <c r="J1241"/>
      <c r="K1241"/>
      <c r="L1241"/>
      <c r="M1241"/>
      <c r="N1241"/>
      <c r="O1241"/>
    </row>
    <row r="1242" spans="2:15" x14ac:dyDescent="0.25">
      <c r="B1242"/>
      <c r="C1242"/>
      <c r="D1242"/>
      <c r="E1242"/>
      <c r="F1242"/>
      <c r="G1242"/>
      <c r="H1242"/>
      <c r="I1242"/>
      <c r="J1242"/>
      <c r="K1242"/>
      <c r="L1242"/>
      <c r="M1242"/>
      <c r="N1242"/>
      <c r="O1242"/>
    </row>
    <row r="1243" spans="2:15" x14ac:dyDescent="0.25">
      <c r="B1243"/>
      <c r="C1243"/>
      <c r="D1243"/>
      <c r="E1243"/>
      <c r="F1243"/>
      <c r="G1243"/>
      <c r="H1243"/>
      <c r="I1243"/>
      <c r="J1243"/>
      <c r="K1243"/>
      <c r="L1243"/>
      <c r="M1243"/>
      <c r="N1243"/>
      <c r="O1243"/>
    </row>
    <row r="1244" spans="2:15" x14ac:dyDescent="0.25">
      <c r="B1244"/>
      <c r="C1244"/>
      <c r="D1244"/>
      <c r="E1244"/>
      <c r="F1244"/>
      <c r="G1244"/>
      <c r="H1244"/>
      <c r="I1244"/>
      <c r="J1244"/>
      <c r="K1244"/>
      <c r="L1244"/>
      <c r="M1244"/>
      <c r="N1244"/>
      <c r="O1244"/>
    </row>
    <row r="1245" spans="2:15" x14ac:dyDescent="0.25">
      <c r="B1245"/>
      <c r="C1245"/>
      <c r="D1245"/>
      <c r="E1245"/>
      <c r="F1245"/>
      <c r="G1245"/>
      <c r="H1245"/>
      <c r="I1245"/>
      <c r="J1245"/>
      <c r="K1245"/>
      <c r="L1245"/>
      <c r="M1245"/>
      <c r="N1245"/>
      <c r="O1245"/>
    </row>
    <row r="1246" spans="2:15" x14ac:dyDescent="0.25">
      <c r="B1246"/>
      <c r="C1246"/>
      <c r="D1246"/>
      <c r="E1246"/>
      <c r="F1246"/>
      <c r="G1246"/>
      <c r="H1246"/>
      <c r="I1246"/>
      <c r="J1246"/>
      <c r="K1246"/>
      <c r="L1246"/>
      <c r="M1246"/>
      <c r="N1246"/>
      <c r="O1246"/>
    </row>
    <row r="1247" spans="2:15" x14ac:dyDescent="0.25">
      <c r="B1247"/>
      <c r="C1247"/>
      <c r="D1247"/>
      <c r="E1247"/>
      <c r="F1247"/>
      <c r="G1247"/>
      <c r="H1247"/>
      <c r="I1247"/>
      <c r="J1247"/>
      <c r="K1247"/>
      <c r="L1247"/>
      <c r="M1247"/>
      <c r="N1247"/>
      <c r="O1247"/>
    </row>
    <row r="1248" spans="2:15" x14ac:dyDescent="0.25">
      <c r="B1248"/>
      <c r="C1248"/>
      <c r="D1248"/>
      <c r="E1248"/>
      <c r="F1248"/>
      <c r="G1248"/>
      <c r="H1248"/>
      <c r="I1248"/>
      <c r="J1248"/>
      <c r="K1248"/>
      <c r="L1248"/>
      <c r="M1248"/>
      <c r="N1248"/>
      <c r="O1248"/>
    </row>
    <row r="1249" spans="2:15" x14ac:dyDescent="0.25">
      <c r="B1249"/>
      <c r="C1249"/>
      <c r="D1249"/>
      <c r="E1249"/>
      <c r="F1249"/>
      <c r="G1249"/>
      <c r="H1249"/>
      <c r="I1249"/>
      <c r="J1249"/>
      <c r="K1249"/>
      <c r="L1249"/>
      <c r="M1249"/>
      <c r="N1249"/>
      <c r="O1249"/>
    </row>
    <row r="1250" spans="2:15" x14ac:dyDescent="0.25">
      <c r="B1250"/>
      <c r="C1250"/>
      <c r="D1250"/>
      <c r="E1250"/>
      <c r="F1250"/>
      <c r="G1250"/>
      <c r="H1250"/>
      <c r="I1250"/>
      <c r="J1250"/>
      <c r="K1250"/>
      <c r="L1250"/>
      <c r="M1250"/>
      <c r="N1250"/>
      <c r="O1250"/>
    </row>
    <row r="1251" spans="2:15" x14ac:dyDescent="0.25">
      <c r="B1251"/>
      <c r="C1251"/>
      <c r="D1251"/>
      <c r="E1251"/>
      <c r="F1251"/>
      <c r="G1251"/>
      <c r="H1251"/>
      <c r="I1251"/>
      <c r="J1251"/>
      <c r="K1251"/>
      <c r="L1251"/>
      <c r="M1251"/>
      <c r="N1251"/>
      <c r="O1251"/>
    </row>
    <row r="1252" spans="2:15" x14ac:dyDescent="0.25">
      <c r="B1252"/>
      <c r="C1252"/>
      <c r="D1252"/>
      <c r="E1252"/>
      <c r="F1252"/>
      <c r="G1252"/>
      <c r="H1252"/>
      <c r="I1252"/>
      <c r="J1252"/>
      <c r="K1252"/>
      <c r="L1252"/>
      <c r="M1252"/>
      <c r="N1252"/>
      <c r="O1252"/>
    </row>
    <row r="1253" spans="2:15" x14ac:dyDescent="0.25">
      <c r="B1253"/>
      <c r="C1253"/>
      <c r="D1253"/>
      <c r="E1253"/>
      <c r="F1253"/>
      <c r="G1253"/>
      <c r="H1253"/>
      <c r="I1253"/>
      <c r="J1253"/>
      <c r="K1253"/>
      <c r="L1253"/>
      <c r="M1253"/>
      <c r="N1253"/>
      <c r="O1253"/>
    </row>
    <row r="1254" spans="2:15" x14ac:dyDescent="0.25">
      <c r="B1254"/>
      <c r="C1254"/>
      <c r="D1254"/>
      <c r="E1254"/>
      <c r="F1254"/>
      <c r="G1254"/>
      <c r="H1254"/>
      <c r="I1254"/>
      <c r="J1254"/>
      <c r="K1254"/>
      <c r="L1254"/>
      <c r="M1254"/>
      <c r="N1254"/>
      <c r="O1254"/>
    </row>
    <row r="1255" spans="2:15" x14ac:dyDescent="0.25">
      <c r="B1255"/>
      <c r="C1255"/>
      <c r="D1255"/>
      <c r="E1255"/>
      <c r="F1255"/>
      <c r="G1255"/>
      <c r="H1255"/>
      <c r="I1255"/>
      <c r="J1255"/>
      <c r="K1255"/>
      <c r="L1255"/>
      <c r="M1255"/>
      <c r="N1255"/>
      <c r="O1255"/>
    </row>
    <row r="1256" spans="2:15" x14ac:dyDescent="0.25">
      <c r="B1256"/>
      <c r="C1256"/>
      <c r="D1256"/>
      <c r="E1256"/>
      <c r="F1256"/>
      <c r="G1256"/>
      <c r="H1256"/>
      <c r="I1256"/>
      <c r="J1256"/>
      <c r="K1256"/>
      <c r="L1256"/>
      <c r="M1256"/>
      <c r="N1256"/>
      <c r="O1256"/>
    </row>
    <row r="1257" spans="2:15" x14ac:dyDescent="0.25">
      <c r="B1257"/>
      <c r="C1257"/>
      <c r="D1257"/>
      <c r="E1257"/>
      <c r="F1257"/>
      <c r="G1257"/>
      <c r="H1257"/>
      <c r="I1257"/>
      <c r="J1257"/>
      <c r="K1257"/>
      <c r="L1257"/>
      <c r="M1257"/>
      <c r="N1257"/>
      <c r="O1257"/>
    </row>
    <row r="1258" spans="2:15" x14ac:dyDescent="0.25">
      <c r="B1258"/>
      <c r="C1258"/>
      <c r="D1258"/>
      <c r="E1258"/>
      <c r="F1258"/>
      <c r="G1258"/>
      <c r="H1258"/>
      <c r="I1258"/>
      <c r="J1258"/>
      <c r="K1258"/>
      <c r="L1258"/>
      <c r="M1258"/>
      <c r="N1258"/>
      <c r="O1258"/>
    </row>
    <row r="1259" spans="2:15" x14ac:dyDescent="0.25">
      <c r="B1259"/>
      <c r="C1259"/>
      <c r="D1259"/>
      <c r="E1259"/>
      <c r="F1259"/>
      <c r="G1259"/>
      <c r="H1259"/>
      <c r="I1259"/>
      <c r="J1259"/>
      <c r="K1259"/>
      <c r="L1259"/>
      <c r="M1259"/>
      <c r="N1259"/>
      <c r="O1259"/>
    </row>
    <row r="1260" spans="2:15" x14ac:dyDescent="0.25">
      <c r="B1260"/>
      <c r="C1260"/>
      <c r="D1260"/>
      <c r="E1260"/>
      <c r="F1260"/>
      <c r="G1260"/>
      <c r="H1260"/>
      <c r="I1260"/>
      <c r="J1260"/>
      <c r="K1260"/>
      <c r="L1260"/>
      <c r="M1260"/>
      <c r="N1260"/>
      <c r="O1260"/>
    </row>
    <row r="1261" spans="2:15" x14ac:dyDescent="0.25">
      <c r="B1261"/>
      <c r="C1261"/>
      <c r="D1261"/>
      <c r="E1261"/>
      <c r="F1261"/>
      <c r="G1261"/>
      <c r="H1261"/>
      <c r="I1261"/>
      <c r="J1261"/>
      <c r="K1261"/>
      <c r="L1261"/>
      <c r="M1261"/>
      <c r="N1261"/>
      <c r="O1261"/>
    </row>
    <row r="1262" spans="2:15" x14ac:dyDescent="0.25">
      <c r="B1262"/>
      <c r="C1262"/>
      <c r="D1262"/>
      <c r="E1262"/>
      <c r="F1262"/>
      <c r="G1262"/>
      <c r="H1262"/>
      <c r="I1262"/>
      <c r="J1262"/>
      <c r="K1262"/>
      <c r="L1262"/>
      <c r="M1262"/>
      <c r="N1262"/>
      <c r="O1262"/>
    </row>
    <row r="1263" spans="2:15" x14ac:dyDescent="0.25">
      <c r="B1263"/>
      <c r="C1263"/>
      <c r="D1263"/>
      <c r="E1263"/>
      <c r="F1263"/>
      <c r="G1263"/>
      <c r="H1263"/>
      <c r="I1263"/>
      <c r="J1263"/>
      <c r="K1263"/>
      <c r="L1263"/>
      <c r="M1263"/>
      <c r="N1263"/>
      <c r="O1263"/>
    </row>
    <row r="1264" spans="2:15" x14ac:dyDescent="0.25">
      <c r="B1264"/>
      <c r="C1264"/>
      <c r="D1264"/>
      <c r="E1264"/>
      <c r="F1264"/>
      <c r="G1264"/>
      <c r="H1264"/>
      <c r="I1264"/>
      <c r="J1264"/>
      <c r="K1264"/>
      <c r="L1264"/>
      <c r="M1264"/>
      <c r="N1264"/>
      <c r="O1264"/>
    </row>
    <row r="1265" spans="2:15" x14ac:dyDescent="0.25">
      <c r="B1265"/>
      <c r="C1265"/>
      <c r="D1265"/>
      <c r="E1265"/>
      <c r="F1265"/>
      <c r="G1265"/>
      <c r="H1265"/>
      <c r="I1265"/>
      <c r="J1265"/>
      <c r="K1265"/>
      <c r="L1265"/>
      <c r="M1265"/>
      <c r="N1265"/>
      <c r="O1265"/>
    </row>
    <row r="1266" spans="2:15" x14ac:dyDescent="0.25">
      <c r="B1266"/>
      <c r="C1266"/>
      <c r="D1266"/>
      <c r="E1266"/>
      <c r="F1266"/>
      <c r="G1266"/>
      <c r="H1266"/>
      <c r="I1266"/>
      <c r="J1266"/>
      <c r="K1266"/>
      <c r="L1266"/>
      <c r="M1266"/>
      <c r="N1266"/>
      <c r="O1266"/>
    </row>
    <row r="1267" spans="2:15" x14ac:dyDescent="0.25">
      <c r="B1267"/>
      <c r="C1267"/>
      <c r="D1267"/>
      <c r="E1267"/>
      <c r="F1267"/>
      <c r="G1267"/>
      <c r="H1267"/>
      <c r="I1267"/>
      <c r="J1267"/>
      <c r="K1267"/>
      <c r="L1267"/>
      <c r="M1267"/>
      <c r="N1267"/>
      <c r="O1267"/>
    </row>
    <row r="1268" spans="2:15" x14ac:dyDescent="0.25">
      <c r="B1268"/>
      <c r="C1268"/>
      <c r="D1268"/>
      <c r="E1268"/>
      <c r="F1268"/>
      <c r="G1268"/>
      <c r="H1268"/>
      <c r="I1268"/>
      <c r="J1268"/>
      <c r="K1268"/>
      <c r="L1268"/>
      <c r="M1268"/>
      <c r="N1268"/>
      <c r="O1268"/>
    </row>
    <row r="1269" spans="2:15" x14ac:dyDescent="0.25">
      <c r="B1269"/>
      <c r="C1269"/>
      <c r="D1269"/>
      <c r="E1269"/>
      <c r="F1269"/>
      <c r="G1269"/>
      <c r="H1269"/>
      <c r="I1269"/>
      <c r="J1269"/>
      <c r="K1269"/>
      <c r="L1269"/>
      <c r="M1269"/>
      <c r="N1269"/>
      <c r="O1269"/>
    </row>
    <row r="1270" spans="2:15" x14ac:dyDescent="0.25">
      <c r="B1270"/>
      <c r="C1270"/>
      <c r="D1270"/>
      <c r="E1270"/>
      <c r="F1270"/>
      <c r="G1270"/>
      <c r="H1270"/>
      <c r="I1270"/>
      <c r="J1270"/>
      <c r="K1270"/>
      <c r="L1270"/>
      <c r="M1270"/>
      <c r="N1270"/>
      <c r="O1270"/>
    </row>
    <row r="1271" spans="2:15" x14ac:dyDescent="0.25">
      <c r="B1271"/>
      <c r="C1271"/>
      <c r="D1271"/>
      <c r="E1271"/>
      <c r="F1271"/>
      <c r="G1271"/>
      <c r="H1271"/>
      <c r="I1271"/>
      <c r="J1271"/>
      <c r="K1271"/>
      <c r="L1271"/>
      <c r="M1271"/>
      <c r="N1271"/>
      <c r="O1271"/>
    </row>
    <row r="1272" spans="2:15" x14ac:dyDescent="0.25">
      <c r="B1272"/>
      <c r="C1272"/>
      <c r="D1272"/>
      <c r="E1272"/>
      <c r="F1272"/>
      <c r="G1272"/>
      <c r="H1272"/>
      <c r="I1272"/>
      <c r="J1272"/>
      <c r="K1272"/>
      <c r="L1272"/>
      <c r="M1272"/>
      <c r="N1272"/>
      <c r="O1272"/>
    </row>
    <row r="1273" spans="2:15" x14ac:dyDescent="0.25">
      <c r="B1273"/>
      <c r="C1273"/>
      <c r="D1273"/>
      <c r="E1273"/>
      <c r="F1273"/>
      <c r="G1273"/>
      <c r="H1273"/>
      <c r="I1273"/>
      <c r="J1273"/>
      <c r="K1273"/>
      <c r="L1273"/>
      <c r="M1273"/>
      <c r="N1273"/>
      <c r="O1273"/>
    </row>
    <row r="1274" spans="2:15" x14ac:dyDescent="0.25">
      <c r="B1274"/>
      <c r="C1274"/>
      <c r="D1274"/>
      <c r="E1274"/>
      <c r="F1274"/>
      <c r="G1274"/>
      <c r="H1274"/>
      <c r="I1274"/>
      <c r="J1274"/>
      <c r="K1274"/>
      <c r="L1274"/>
      <c r="M1274"/>
      <c r="N1274"/>
      <c r="O1274"/>
    </row>
    <row r="1275" spans="2:15" x14ac:dyDescent="0.25">
      <c r="B1275"/>
      <c r="C1275"/>
      <c r="D1275"/>
      <c r="E1275"/>
      <c r="F1275"/>
      <c r="G1275"/>
      <c r="H1275"/>
      <c r="I1275"/>
      <c r="J1275"/>
      <c r="K1275"/>
      <c r="L1275"/>
      <c r="M1275"/>
      <c r="N1275"/>
      <c r="O1275"/>
    </row>
    <row r="1276" spans="2:15" x14ac:dyDescent="0.25">
      <c r="B1276"/>
      <c r="C1276"/>
      <c r="D1276"/>
      <c r="E1276"/>
      <c r="F1276"/>
      <c r="G1276"/>
      <c r="H1276"/>
      <c r="I1276"/>
      <c r="J1276"/>
      <c r="K1276"/>
      <c r="L1276"/>
      <c r="M1276"/>
      <c r="N1276"/>
      <c r="O1276"/>
    </row>
    <row r="1277" spans="2:15" x14ac:dyDescent="0.25">
      <c r="B1277"/>
      <c r="C1277"/>
      <c r="D1277"/>
      <c r="E1277"/>
      <c r="F1277"/>
      <c r="G1277"/>
      <c r="H1277"/>
      <c r="I1277"/>
      <c r="J1277"/>
      <c r="K1277"/>
      <c r="L1277"/>
      <c r="M1277"/>
      <c r="N1277"/>
      <c r="O1277"/>
    </row>
    <row r="1278" spans="2:15" x14ac:dyDescent="0.25">
      <c r="B1278"/>
      <c r="C1278"/>
      <c r="D1278"/>
      <c r="E1278"/>
      <c r="F1278"/>
      <c r="G1278"/>
      <c r="H1278"/>
      <c r="I1278"/>
      <c r="J1278"/>
      <c r="K1278"/>
      <c r="L1278"/>
      <c r="M1278"/>
      <c r="N1278"/>
      <c r="O1278"/>
    </row>
    <row r="1279" spans="2:15" x14ac:dyDescent="0.25">
      <c r="B1279"/>
      <c r="C1279"/>
      <c r="D1279"/>
      <c r="E1279"/>
      <c r="F1279"/>
      <c r="G1279"/>
      <c r="H1279"/>
      <c r="I1279"/>
      <c r="J1279"/>
      <c r="K1279"/>
      <c r="L1279"/>
      <c r="M1279"/>
      <c r="N1279"/>
      <c r="O1279"/>
    </row>
    <row r="1280" spans="2:15" x14ac:dyDescent="0.25">
      <c r="B1280"/>
      <c r="C1280"/>
      <c r="D1280"/>
      <c r="E1280"/>
      <c r="F1280"/>
      <c r="G1280"/>
      <c r="H1280"/>
      <c r="I1280"/>
      <c r="J1280"/>
      <c r="K1280"/>
      <c r="L1280"/>
      <c r="M1280"/>
      <c r="N1280"/>
      <c r="O1280"/>
    </row>
    <row r="1281" spans="2:15" x14ac:dyDescent="0.25">
      <c r="B1281"/>
      <c r="C1281"/>
      <c r="D1281"/>
      <c r="E1281"/>
      <c r="F1281"/>
      <c r="G1281"/>
      <c r="H1281"/>
      <c r="I1281"/>
      <c r="J1281"/>
      <c r="K1281"/>
      <c r="L1281"/>
      <c r="M1281"/>
      <c r="N1281"/>
      <c r="O1281"/>
    </row>
    <row r="1282" spans="2:15" x14ac:dyDescent="0.25">
      <c r="B1282"/>
      <c r="C1282"/>
      <c r="D1282"/>
      <c r="E1282"/>
      <c r="F1282"/>
      <c r="G1282"/>
      <c r="H1282"/>
      <c r="I1282"/>
      <c r="J1282"/>
      <c r="K1282"/>
      <c r="L1282"/>
      <c r="M1282"/>
      <c r="N1282"/>
      <c r="O1282"/>
    </row>
    <row r="1283" spans="2:15" x14ac:dyDescent="0.25">
      <c r="B1283"/>
      <c r="C1283"/>
      <c r="D1283"/>
      <c r="E1283"/>
      <c r="F1283"/>
      <c r="G1283"/>
      <c r="H1283"/>
      <c r="I1283"/>
      <c r="J1283"/>
      <c r="K1283"/>
      <c r="L1283"/>
      <c r="M1283"/>
      <c r="N1283"/>
      <c r="O1283"/>
    </row>
    <row r="1284" spans="2:15" x14ac:dyDescent="0.25">
      <c r="B1284"/>
      <c r="C1284"/>
      <c r="D1284"/>
      <c r="E1284"/>
      <c r="F1284"/>
      <c r="G1284"/>
      <c r="H1284"/>
      <c r="I1284"/>
      <c r="J1284"/>
      <c r="K1284"/>
      <c r="L1284"/>
      <c r="M1284"/>
      <c r="N1284"/>
      <c r="O1284"/>
    </row>
    <row r="1285" spans="2:15" x14ac:dyDescent="0.25">
      <c r="B1285"/>
      <c r="C1285"/>
      <c r="D1285"/>
      <c r="E1285"/>
      <c r="F1285"/>
      <c r="G1285"/>
      <c r="H1285"/>
      <c r="I1285"/>
      <c r="J1285"/>
      <c r="K1285"/>
      <c r="L1285"/>
      <c r="M1285"/>
      <c r="N1285"/>
      <c r="O1285"/>
    </row>
    <row r="1286" spans="2:15" x14ac:dyDescent="0.25">
      <c r="B1286"/>
      <c r="C1286"/>
      <c r="D1286"/>
      <c r="E1286"/>
      <c r="F1286"/>
      <c r="G1286"/>
      <c r="H1286"/>
      <c r="I1286"/>
      <c r="J1286"/>
      <c r="K1286"/>
      <c r="L1286"/>
      <c r="M1286"/>
      <c r="N1286"/>
      <c r="O1286"/>
    </row>
    <row r="1287" spans="2:15" x14ac:dyDescent="0.25">
      <c r="B1287"/>
      <c r="C1287"/>
      <c r="D1287"/>
      <c r="E1287"/>
      <c r="F1287"/>
      <c r="G1287"/>
      <c r="H1287"/>
      <c r="I1287"/>
      <c r="J1287"/>
      <c r="K1287"/>
      <c r="L1287"/>
      <c r="M1287"/>
      <c r="N1287"/>
      <c r="O1287"/>
    </row>
    <row r="1288" spans="2:15" x14ac:dyDescent="0.25">
      <c r="B1288"/>
      <c r="C1288"/>
      <c r="D1288"/>
      <c r="E1288"/>
      <c r="F1288"/>
      <c r="G1288"/>
      <c r="H1288"/>
      <c r="I1288"/>
      <c r="J1288"/>
      <c r="K1288"/>
      <c r="L1288"/>
      <c r="M1288"/>
      <c r="N1288"/>
      <c r="O1288"/>
    </row>
    <row r="1289" spans="2:15" x14ac:dyDescent="0.25">
      <c r="B1289"/>
      <c r="C1289"/>
      <c r="D1289"/>
      <c r="E1289"/>
      <c r="F1289"/>
      <c r="G1289"/>
      <c r="H1289"/>
      <c r="I1289"/>
      <c r="J1289"/>
      <c r="K1289"/>
      <c r="L1289"/>
      <c r="M1289"/>
      <c r="N1289"/>
      <c r="O1289"/>
    </row>
    <row r="1290" spans="2:15" x14ac:dyDescent="0.25">
      <c r="B1290"/>
      <c r="C1290"/>
      <c r="D1290"/>
      <c r="E1290"/>
      <c r="F1290"/>
      <c r="G1290"/>
      <c r="H1290"/>
      <c r="I1290"/>
      <c r="J1290"/>
      <c r="K1290"/>
      <c r="L1290"/>
      <c r="M1290"/>
      <c r="N1290"/>
      <c r="O1290"/>
    </row>
    <row r="1291" spans="2:15" x14ac:dyDescent="0.25">
      <c r="B1291"/>
      <c r="C1291"/>
      <c r="D1291"/>
      <c r="E1291"/>
      <c r="F1291"/>
      <c r="G1291"/>
      <c r="H1291"/>
      <c r="I1291"/>
      <c r="J1291"/>
      <c r="K1291"/>
      <c r="L1291"/>
      <c r="M1291"/>
      <c r="N1291"/>
      <c r="O1291"/>
    </row>
    <row r="1292" spans="2:15" x14ac:dyDescent="0.25">
      <c r="B1292"/>
      <c r="C1292"/>
      <c r="D1292"/>
      <c r="E1292"/>
      <c r="F1292"/>
      <c r="G1292"/>
      <c r="H1292"/>
      <c r="I1292"/>
      <c r="J1292"/>
      <c r="K1292"/>
      <c r="L1292"/>
      <c r="M1292"/>
      <c r="N1292"/>
      <c r="O1292"/>
    </row>
    <row r="1293" spans="2:15" x14ac:dyDescent="0.25">
      <c r="B1293"/>
      <c r="C1293"/>
      <c r="D1293"/>
      <c r="E1293"/>
      <c r="F1293"/>
      <c r="G1293"/>
      <c r="H1293"/>
      <c r="I1293"/>
      <c r="J1293"/>
      <c r="K1293"/>
      <c r="L1293"/>
      <c r="M1293"/>
      <c r="N1293"/>
      <c r="O1293"/>
    </row>
    <row r="1294" spans="2:15" x14ac:dyDescent="0.25">
      <c r="B1294"/>
      <c r="C1294"/>
      <c r="D1294"/>
      <c r="E1294"/>
      <c r="F1294"/>
      <c r="G1294"/>
      <c r="H1294"/>
      <c r="I1294"/>
      <c r="J1294"/>
      <c r="K1294"/>
      <c r="L1294"/>
      <c r="M1294"/>
      <c r="N1294"/>
      <c r="O1294"/>
    </row>
    <row r="1295" spans="2:15" x14ac:dyDescent="0.25">
      <c r="B1295"/>
      <c r="C1295"/>
      <c r="D1295"/>
      <c r="E1295"/>
      <c r="F1295"/>
      <c r="G1295"/>
      <c r="H1295"/>
      <c r="I1295"/>
      <c r="J1295"/>
      <c r="K1295"/>
      <c r="L1295"/>
      <c r="M1295"/>
      <c r="N1295"/>
      <c r="O1295"/>
    </row>
    <row r="1296" spans="2:15" x14ac:dyDescent="0.25">
      <c r="B1296"/>
      <c r="C1296"/>
      <c r="D1296"/>
      <c r="E1296"/>
      <c r="F1296"/>
      <c r="G1296"/>
      <c r="H1296"/>
      <c r="I1296"/>
      <c r="J1296"/>
      <c r="K1296"/>
      <c r="L1296"/>
      <c r="M1296"/>
      <c r="N1296"/>
      <c r="O1296"/>
    </row>
    <row r="1297" spans="2:15" x14ac:dyDescent="0.25">
      <c r="B1297"/>
      <c r="C1297"/>
      <c r="D1297"/>
      <c r="E1297"/>
      <c r="F1297"/>
      <c r="G1297"/>
      <c r="H1297"/>
      <c r="I1297"/>
      <c r="J1297"/>
      <c r="K1297"/>
      <c r="L1297"/>
      <c r="M1297"/>
      <c r="N1297"/>
      <c r="O1297"/>
    </row>
    <row r="1298" spans="2:15" x14ac:dyDescent="0.25">
      <c r="B1298"/>
      <c r="C1298"/>
      <c r="D1298"/>
      <c r="E1298"/>
      <c r="F1298"/>
      <c r="G1298"/>
      <c r="H1298"/>
      <c r="I1298"/>
      <c r="J1298"/>
      <c r="K1298"/>
      <c r="L1298"/>
      <c r="M1298"/>
      <c r="N1298"/>
      <c r="O1298"/>
    </row>
    <row r="1299" spans="2:15" x14ac:dyDescent="0.25">
      <c r="B1299"/>
      <c r="C1299"/>
      <c r="D1299"/>
      <c r="E1299"/>
      <c r="F1299"/>
      <c r="G1299"/>
      <c r="H1299"/>
      <c r="I1299"/>
      <c r="J1299"/>
      <c r="K1299"/>
      <c r="L1299"/>
      <c r="M1299"/>
      <c r="N1299"/>
      <c r="O1299"/>
    </row>
    <row r="1300" spans="2:15" x14ac:dyDescent="0.25">
      <c r="B1300"/>
      <c r="C1300"/>
      <c r="D1300"/>
      <c r="E1300"/>
      <c r="F1300"/>
      <c r="G1300"/>
      <c r="H1300"/>
      <c r="I1300"/>
      <c r="J1300"/>
      <c r="K1300"/>
      <c r="L1300"/>
      <c r="M1300"/>
      <c r="N1300"/>
      <c r="O1300"/>
    </row>
    <row r="1301" spans="2:15" x14ac:dyDescent="0.25">
      <c r="B1301"/>
      <c r="C1301"/>
      <c r="D1301"/>
      <c r="E1301"/>
      <c r="F1301"/>
      <c r="G1301"/>
      <c r="H1301"/>
      <c r="I1301"/>
      <c r="J1301"/>
      <c r="K1301"/>
      <c r="L1301"/>
      <c r="M1301"/>
      <c r="N1301"/>
      <c r="O1301"/>
    </row>
    <row r="1302" spans="2:15" x14ac:dyDescent="0.25">
      <c r="B1302"/>
      <c r="C1302"/>
      <c r="D1302"/>
      <c r="E1302"/>
      <c r="F1302"/>
      <c r="G1302"/>
      <c r="H1302"/>
      <c r="I1302"/>
      <c r="J1302"/>
      <c r="K1302"/>
      <c r="L1302"/>
      <c r="M1302"/>
      <c r="N1302"/>
      <c r="O1302"/>
    </row>
    <row r="1303" spans="2:15" x14ac:dyDescent="0.25">
      <c r="B1303"/>
      <c r="C1303"/>
      <c r="D1303"/>
      <c r="E1303"/>
      <c r="F1303"/>
      <c r="G1303"/>
      <c r="H1303"/>
      <c r="I1303"/>
      <c r="J1303"/>
      <c r="K1303"/>
      <c r="L1303"/>
      <c r="M1303"/>
      <c r="N1303"/>
      <c r="O1303"/>
    </row>
    <row r="1304" spans="2:15" x14ac:dyDescent="0.25">
      <c r="B1304"/>
      <c r="C1304"/>
      <c r="D1304"/>
      <c r="E1304"/>
      <c r="F1304"/>
      <c r="G1304"/>
      <c r="H1304"/>
      <c r="I1304"/>
      <c r="J1304"/>
      <c r="K1304"/>
      <c r="L1304"/>
      <c r="M1304"/>
      <c r="N1304"/>
      <c r="O1304"/>
    </row>
    <row r="1305" spans="2:15" x14ac:dyDescent="0.25">
      <c r="B1305"/>
      <c r="C1305"/>
      <c r="D1305"/>
      <c r="E1305"/>
      <c r="F1305"/>
      <c r="G1305"/>
      <c r="H1305"/>
      <c r="I1305"/>
      <c r="J1305"/>
      <c r="K1305"/>
      <c r="L1305"/>
      <c r="M1305"/>
      <c r="N1305"/>
      <c r="O1305"/>
    </row>
    <row r="1306" spans="2:15" x14ac:dyDescent="0.25">
      <c r="B1306"/>
      <c r="C1306"/>
      <c r="D1306"/>
      <c r="E1306"/>
      <c r="F1306"/>
      <c r="G1306"/>
      <c r="H1306"/>
      <c r="I1306"/>
      <c r="J1306"/>
      <c r="K1306"/>
      <c r="L1306"/>
      <c r="M1306"/>
      <c r="N1306"/>
      <c r="O1306"/>
    </row>
    <row r="1307" spans="2:15" x14ac:dyDescent="0.25">
      <c r="B1307"/>
      <c r="C1307"/>
      <c r="D1307"/>
      <c r="E1307"/>
      <c r="F1307"/>
      <c r="G1307"/>
      <c r="H1307"/>
      <c r="I1307"/>
      <c r="J1307"/>
      <c r="K1307"/>
      <c r="L1307"/>
      <c r="M1307"/>
      <c r="N1307"/>
      <c r="O1307"/>
    </row>
    <row r="1308" spans="2:15" x14ac:dyDescent="0.25">
      <c r="B1308"/>
      <c r="C1308"/>
      <c r="D1308"/>
      <c r="E1308"/>
      <c r="F1308"/>
      <c r="G1308"/>
      <c r="H1308"/>
      <c r="I1308"/>
      <c r="J1308"/>
      <c r="K1308"/>
      <c r="L1308"/>
      <c r="M1308"/>
      <c r="N1308"/>
      <c r="O1308"/>
    </row>
    <row r="1309" spans="2:15" x14ac:dyDescent="0.25">
      <c r="B1309"/>
      <c r="C1309"/>
      <c r="D1309"/>
      <c r="E1309"/>
      <c r="F1309"/>
      <c r="G1309"/>
      <c r="H1309"/>
      <c r="I1309"/>
      <c r="J1309"/>
      <c r="K1309"/>
      <c r="L1309"/>
      <c r="M1309"/>
      <c r="N1309"/>
      <c r="O1309"/>
    </row>
    <row r="1310" spans="2:15" x14ac:dyDescent="0.25">
      <c r="B1310"/>
      <c r="C1310"/>
      <c r="D1310"/>
      <c r="E1310"/>
      <c r="F1310"/>
      <c r="G1310"/>
      <c r="H1310"/>
      <c r="I1310"/>
      <c r="J1310"/>
      <c r="K1310"/>
      <c r="L1310"/>
      <c r="M1310"/>
      <c r="N1310"/>
      <c r="O1310"/>
    </row>
    <row r="1311" spans="2:15" x14ac:dyDescent="0.25">
      <c r="B1311"/>
      <c r="C1311"/>
      <c r="D1311"/>
      <c r="E1311"/>
      <c r="F1311"/>
      <c r="G1311"/>
      <c r="H1311"/>
      <c r="I1311"/>
      <c r="J1311"/>
      <c r="K1311"/>
      <c r="L1311"/>
      <c r="M1311"/>
      <c r="N1311"/>
      <c r="O1311"/>
    </row>
    <row r="1312" spans="2:15" x14ac:dyDescent="0.25">
      <c r="B1312"/>
      <c r="C1312"/>
      <c r="D1312"/>
      <c r="E1312"/>
      <c r="F1312"/>
      <c r="G1312"/>
      <c r="H1312"/>
      <c r="I1312"/>
      <c r="J1312"/>
      <c r="K1312"/>
      <c r="L1312"/>
      <c r="M1312"/>
      <c r="N1312"/>
      <c r="O1312"/>
    </row>
    <row r="1313" spans="2:15" x14ac:dyDescent="0.25">
      <c r="B1313"/>
      <c r="C1313"/>
      <c r="D1313"/>
      <c r="E1313"/>
      <c r="F1313"/>
      <c r="G1313"/>
      <c r="H1313"/>
      <c r="I1313"/>
      <c r="J1313"/>
      <c r="K1313"/>
      <c r="L1313"/>
      <c r="M1313"/>
      <c r="N1313"/>
      <c r="O1313"/>
    </row>
    <row r="1314" spans="2:15" x14ac:dyDescent="0.25">
      <c r="B1314"/>
      <c r="C1314"/>
      <c r="D1314"/>
      <c r="E1314"/>
      <c r="F1314"/>
      <c r="G1314"/>
      <c r="H1314"/>
      <c r="I1314"/>
      <c r="J1314"/>
      <c r="K1314"/>
      <c r="L1314"/>
      <c r="M1314"/>
      <c r="N1314"/>
      <c r="O1314"/>
    </row>
    <row r="1315" spans="2:15" x14ac:dyDescent="0.25">
      <c r="B1315"/>
      <c r="C1315"/>
      <c r="D1315"/>
      <c r="E1315"/>
      <c r="F1315"/>
      <c r="G1315"/>
      <c r="H1315"/>
      <c r="I1315"/>
      <c r="J1315"/>
      <c r="K1315"/>
      <c r="L1315"/>
      <c r="M1315"/>
      <c r="N1315"/>
      <c r="O1315"/>
    </row>
    <row r="1316" spans="2:15" x14ac:dyDescent="0.25">
      <c r="B1316"/>
      <c r="C1316"/>
      <c r="D1316"/>
      <c r="E1316"/>
      <c r="F1316"/>
      <c r="G1316"/>
      <c r="H1316"/>
      <c r="I1316"/>
      <c r="J1316"/>
      <c r="K1316"/>
      <c r="L1316"/>
      <c r="M1316"/>
      <c r="N1316"/>
      <c r="O1316"/>
    </row>
    <row r="1317" spans="2:15" x14ac:dyDescent="0.25">
      <c r="B1317"/>
      <c r="C1317"/>
      <c r="D1317"/>
      <c r="E1317"/>
      <c r="F1317"/>
      <c r="G1317"/>
      <c r="H1317"/>
      <c r="I1317"/>
      <c r="J1317"/>
      <c r="K1317"/>
      <c r="L1317"/>
      <c r="M1317"/>
      <c r="N1317"/>
      <c r="O1317"/>
    </row>
    <row r="1318" spans="2:15" x14ac:dyDescent="0.25">
      <c r="B1318"/>
      <c r="C1318"/>
      <c r="D1318"/>
      <c r="E1318"/>
      <c r="F1318"/>
      <c r="G1318"/>
      <c r="H1318"/>
      <c r="I1318"/>
      <c r="J1318"/>
      <c r="K1318"/>
      <c r="L1318"/>
      <c r="M1318"/>
      <c r="N1318"/>
      <c r="O1318"/>
    </row>
    <row r="1319" spans="2:15" x14ac:dyDescent="0.25">
      <c r="B1319"/>
      <c r="C1319"/>
      <c r="D1319"/>
      <c r="E1319"/>
      <c r="F1319"/>
      <c r="G1319"/>
      <c r="H1319"/>
      <c r="I1319"/>
      <c r="J1319"/>
      <c r="K1319"/>
      <c r="L1319"/>
      <c r="M1319"/>
      <c r="N1319"/>
      <c r="O1319"/>
    </row>
    <row r="1320" spans="2:15" x14ac:dyDescent="0.25">
      <c r="B1320"/>
      <c r="C1320"/>
      <c r="D1320"/>
      <c r="E1320"/>
      <c r="F1320"/>
      <c r="G1320"/>
      <c r="H1320"/>
      <c r="I1320"/>
      <c r="J1320"/>
      <c r="K1320"/>
      <c r="L1320"/>
      <c r="M1320"/>
      <c r="N1320"/>
      <c r="O1320"/>
    </row>
    <row r="1321" spans="2:15" x14ac:dyDescent="0.25">
      <c r="B1321"/>
      <c r="C1321"/>
      <c r="D1321"/>
      <c r="E1321"/>
      <c r="F1321"/>
      <c r="G1321"/>
      <c r="H1321"/>
      <c r="I1321"/>
      <c r="J1321"/>
      <c r="K1321"/>
      <c r="L1321"/>
      <c r="M1321"/>
      <c r="N1321"/>
      <c r="O1321"/>
    </row>
    <row r="1322" spans="2:15" x14ac:dyDescent="0.25">
      <c r="B1322"/>
      <c r="C1322"/>
      <c r="D1322"/>
      <c r="E1322"/>
      <c r="F1322"/>
      <c r="G1322"/>
      <c r="H1322"/>
      <c r="I1322"/>
      <c r="J1322"/>
      <c r="K1322"/>
      <c r="L1322"/>
      <c r="M1322"/>
      <c r="N1322"/>
      <c r="O1322"/>
    </row>
    <row r="1323" spans="2:15" x14ac:dyDescent="0.25">
      <c r="B1323"/>
      <c r="C1323"/>
      <c r="D1323"/>
      <c r="E1323"/>
      <c r="F1323"/>
      <c r="G1323"/>
      <c r="H1323"/>
      <c r="I1323"/>
      <c r="J1323"/>
      <c r="K1323"/>
      <c r="L1323"/>
      <c r="M1323"/>
      <c r="N1323"/>
      <c r="O1323"/>
    </row>
    <row r="1324" spans="2:15" x14ac:dyDescent="0.25">
      <c r="B1324"/>
      <c r="C1324"/>
      <c r="D1324"/>
      <c r="E1324"/>
      <c r="F1324"/>
      <c r="G1324"/>
      <c r="H1324"/>
      <c r="I1324"/>
      <c r="J1324"/>
      <c r="K1324"/>
      <c r="L1324"/>
      <c r="M1324"/>
      <c r="N1324"/>
      <c r="O1324"/>
    </row>
    <row r="1325" spans="2:15" x14ac:dyDescent="0.25">
      <c r="B1325"/>
      <c r="C1325"/>
      <c r="D1325"/>
      <c r="E1325"/>
      <c r="F1325"/>
      <c r="G1325"/>
      <c r="H1325"/>
      <c r="I1325"/>
      <c r="J1325"/>
      <c r="K1325"/>
      <c r="L1325"/>
      <c r="M1325"/>
      <c r="N1325"/>
      <c r="O1325"/>
    </row>
    <row r="1326" spans="2:15" x14ac:dyDescent="0.25">
      <c r="B1326"/>
      <c r="C1326"/>
      <c r="D1326"/>
      <c r="E1326"/>
      <c r="F1326"/>
      <c r="G1326"/>
      <c r="H1326"/>
      <c r="I1326"/>
      <c r="J1326"/>
      <c r="K1326"/>
      <c r="L1326"/>
      <c r="M1326"/>
      <c r="N1326"/>
      <c r="O1326"/>
    </row>
    <row r="1327" spans="2:15" x14ac:dyDescent="0.25">
      <c r="B1327"/>
      <c r="C1327"/>
      <c r="D1327"/>
      <c r="E1327"/>
      <c r="F1327"/>
      <c r="G1327"/>
      <c r="H1327"/>
      <c r="I1327"/>
      <c r="J1327"/>
      <c r="K1327"/>
      <c r="L1327"/>
      <c r="M1327"/>
      <c r="N1327"/>
      <c r="O1327"/>
    </row>
    <row r="1328" spans="2:15" x14ac:dyDescent="0.25">
      <c r="B1328"/>
      <c r="C1328"/>
      <c r="D1328"/>
      <c r="E1328"/>
      <c r="F1328"/>
      <c r="G1328"/>
      <c r="H1328"/>
      <c r="I1328"/>
      <c r="J1328"/>
      <c r="K1328"/>
      <c r="L1328"/>
      <c r="M1328"/>
      <c r="N1328"/>
      <c r="O1328"/>
    </row>
    <row r="1329" spans="2:15" x14ac:dyDescent="0.25">
      <c r="B1329"/>
      <c r="C1329"/>
      <c r="D1329"/>
      <c r="E1329"/>
      <c r="F1329"/>
      <c r="G1329"/>
      <c r="H1329"/>
      <c r="I1329"/>
      <c r="J1329"/>
      <c r="K1329"/>
      <c r="L1329"/>
      <c r="M1329"/>
      <c r="N1329"/>
      <c r="O1329"/>
    </row>
    <row r="1330" spans="2:15" x14ac:dyDescent="0.25">
      <c r="B1330"/>
      <c r="C1330"/>
      <c r="D1330"/>
      <c r="E1330"/>
      <c r="F1330"/>
      <c r="G1330"/>
      <c r="H1330"/>
      <c r="I1330"/>
      <c r="J1330"/>
      <c r="K1330"/>
      <c r="L1330"/>
      <c r="M1330"/>
      <c r="N1330"/>
      <c r="O1330"/>
    </row>
    <row r="1331" spans="2:15" x14ac:dyDescent="0.25">
      <c r="B1331"/>
      <c r="C1331"/>
      <c r="D1331"/>
      <c r="E1331"/>
      <c r="F1331"/>
      <c r="G1331"/>
      <c r="H1331"/>
      <c r="I1331"/>
      <c r="J1331"/>
      <c r="K1331"/>
      <c r="L1331"/>
      <c r="M1331"/>
      <c r="N1331"/>
      <c r="O1331"/>
    </row>
    <row r="1332" spans="2:15" x14ac:dyDescent="0.25">
      <c r="B1332"/>
      <c r="C1332"/>
      <c r="D1332"/>
      <c r="E1332"/>
      <c r="F1332"/>
      <c r="G1332"/>
      <c r="H1332"/>
      <c r="I1332"/>
      <c r="J1332"/>
      <c r="K1332"/>
      <c r="L1332"/>
      <c r="M1332"/>
      <c r="N1332"/>
      <c r="O1332"/>
    </row>
    <row r="1333" spans="2:15" x14ac:dyDescent="0.25">
      <c r="B1333"/>
      <c r="C1333"/>
      <c r="D1333"/>
      <c r="E1333"/>
      <c r="F1333"/>
      <c r="G1333"/>
      <c r="H1333"/>
      <c r="I1333"/>
      <c r="J1333"/>
      <c r="K1333"/>
      <c r="L1333"/>
      <c r="M1333"/>
      <c r="N1333"/>
      <c r="O1333"/>
    </row>
    <row r="1334" spans="2:15" x14ac:dyDescent="0.25">
      <c r="B1334"/>
      <c r="C1334"/>
      <c r="D1334"/>
      <c r="E1334"/>
      <c r="F1334"/>
      <c r="G1334"/>
      <c r="H1334"/>
      <c r="I1334"/>
      <c r="J1334"/>
      <c r="K1334"/>
      <c r="L1334"/>
      <c r="M1334"/>
      <c r="N1334"/>
      <c r="O1334"/>
    </row>
    <row r="1335" spans="2:15" x14ac:dyDescent="0.25">
      <c r="B1335"/>
      <c r="C1335"/>
      <c r="D1335"/>
      <c r="E1335"/>
      <c r="F1335"/>
      <c r="G1335"/>
      <c r="H1335"/>
      <c r="I1335"/>
      <c r="J1335"/>
      <c r="K1335"/>
      <c r="L1335"/>
      <c r="M1335"/>
      <c r="N1335"/>
      <c r="O1335"/>
    </row>
    <row r="1336" spans="2:15" x14ac:dyDescent="0.25">
      <c r="B1336"/>
      <c r="C1336"/>
      <c r="D1336"/>
      <c r="E1336"/>
      <c r="F1336"/>
      <c r="G1336"/>
      <c r="H1336"/>
      <c r="I1336"/>
      <c r="J1336"/>
      <c r="K1336"/>
      <c r="L1336"/>
      <c r="M1336"/>
      <c r="N1336"/>
      <c r="O1336"/>
    </row>
    <row r="1337" spans="2:15" x14ac:dyDescent="0.25">
      <c r="B1337"/>
      <c r="C1337"/>
      <c r="D1337"/>
      <c r="E1337"/>
      <c r="F1337"/>
      <c r="G1337"/>
      <c r="H1337"/>
      <c r="I1337"/>
      <c r="J1337"/>
      <c r="K1337"/>
      <c r="L1337"/>
      <c r="M1337"/>
      <c r="N1337"/>
      <c r="O1337"/>
    </row>
    <row r="1338" spans="2:15" x14ac:dyDescent="0.25">
      <c r="B1338"/>
      <c r="C1338"/>
      <c r="D1338"/>
      <c r="E1338"/>
      <c r="F1338"/>
      <c r="G1338"/>
      <c r="H1338"/>
      <c r="I1338"/>
      <c r="J1338"/>
      <c r="K1338"/>
      <c r="L1338"/>
      <c r="M1338"/>
      <c r="N1338"/>
      <c r="O1338"/>
    </row>
    <row r="1339" spans="2:15" x14ac:dyDescent="0.25">
      <c r="B1339"/>
      <c r="C1339"/>
      <c r="D1339"/>
      <c r="E1339"/>
      <c r="F1339"/>
      <c r="G1339"/>
      <c r="H1339"/>
      <c r="I1339"/>
      <c r="J1339"/>
      <c r="K1339"/>
      <c r="L1339"/>
      <c r="M1339"/>
      <c r="N1339"/>
      <c r="O1339"/>
    </row>
    <row r="1340" spans="2:15" x14ac:dyDescent="0.25">
      <c r="B1340"/>
      <c r="C1340"/>
      <c r="D1340"/>
      <c r="E1340"/>
      <c r="F1340"/>
      <c r="G1340"/>
      <c r="H1340"/>
      <c r="I1340"/>
      <c r="J1340"/>
      <c r="K1340"/>
      <c r="L1340"/>
      <c r="M1340"/>
      <c r="N1340"/>
      <c r="O1340"/>
    </row>
    <row r="1341" spans="2:15" x14ac:dyDescent="0.25">
      <c r="B1341"/>
      <c r="C1341"/>
      <c r="D1341"/>
      <c r="E1341"/>
      <c r="F1341"/>
      <c r="G1341"/>
      <c r="H1341"/>
      <c r="I1341"/>
      <c r="J1341"/>
      <c r="K1341"/>
      <c r="L1341"/>
      <c r="M1341"/>
      <c r="N1341"/>
      <c r="O1341"/>
    </row>
    <row r="1342" spans="2:15" x14ac:dyDescent="0.25">
      <c r="B1342"/>
      <c r="C1342"/>
      <c r="D1342"/>
      <c r="E1342"/>
      <c r="F1342"/>
      <c r="G1342"/>
      <c r="H1342"/>
      <c r="I1342"/>
      <c r="J1342"/>
      <c r="K1342"/>
      <c r="L1342"/>
      <c r="M1342"/>
      <c r="N1342"/>
      <c r="O1342"/>
    </row>
    <row r="1343" spans="2:15" x14ac:dyDescent="0.25">
      <c r="B1343"/>
      <c r="C1343"/>
      <c r="D1343"/>
      <c r="E1343"/>
      <c r="F1343"/>
      <c r="G1343"/>
      <c r="H1343"/>
      <c r="I1343"/>
      <c r="J1343"/>
      <c r="K1343"/>
      <c r="L1343"/>
      <c r="M1343"/>
      <c r="N1343"/>
      <c r="O1343"/>
    </row>
    <row r="1344" spans="2:15" x14ac:dyDescent="0.25">
      <c r="B1344"/>
      <c r="C1344"/>
      <c r="D1344"/>
      <c r="E1344"/>
      <c r="F1344"/>
      <c r="G1344"/>
      <c r="H1344"/>
      <c r="I1344"/>
      <c r="J1344"/>
      <c r="K1344"/>
      <c r="L1344"/>
      <c r="M1344"/>
      <c r="N1344"/>
      <c r="O1344"/>
    </row>
    <row r="1345" spans="2:15" x14ac:dyDescent="0.25">
      <c r="B1345"/>
      <c r="C1345"/>
      <c r="D1345"/>
      <c r="E1345"/>
      <c r="F1345"/>
      <c r="G1345"/>
      <c r="H1345"/>
      <c r="I1345"/>
      <c r="J1345"/>
      <c r="K1345"/>
      <c r="L1345"/>
      <c r="M1345"/>
      <c r="N1345"/>
      <c r="O1345"/>
    </row>
    <row r="1346" spans="2:15" x14ac:dyDescent="0.25">
      <c r="B1346"/>
      <c r="C1346"/>
      <c r="D1346"/>
      <c r="E1346"/>
      <c r="F1346"/>
      <c r="G1346"/>
      <c r="H1346"/>
      <c r="I1346"/>
      <c r="J1346"/>
      <c r="K1346"/>
      <c r="L1346"/>
      <c r="M1346"/>
      <c r="N1346"/>
      <c r="O1346"/>
    </row>
    <row r="1347" spans="2:15" x14ac:dyDescent="0.25">
      <c r="B1347"/>
      <c r="C1347"/>
      <c r="D1347"/>
      <c r="E1347"/>
      <c r="F1347"/>
      <c r="G1347"/>
      <c r="H1347"/>
      <c r="I1347"/>
      <c r="J1347"/>
      <c r="K1347"/>
      <c r="L1347"/>
      <c r="M1347"/>
      <c r="N1347"/>
      <c r="O1347"/>
    </row>
    <row r="1348" spans="2:15" x14ac:dyDescent="0.25">
      <c r="B1348"/>
      <c r="C1348"/>
      <c r="D1348"/>
      <c r="E1348"/>
      <c r="F1348"/>
      <c r="G1348"/>
      <c r="H1348"/>
      <c r="I1348"/>
      <c r="J1348"/>
      <c r="K1348"/>
      <c r="L1348"/>
      <c r="M1348"/>
      <c r="N1348"/>
      <c r="O1348"/>
    </row>
    <row r="1349" spans="2:15" x14ac:dyDescent="0.25">
      <c r="B1349"/>
      <c r="C1349"/>
      <c r="D1349"/>
      <c r="E1349"/>
      <c r="F1349"/>
      <c r="G1349"/>
      <c r="H1349"/>
      <c r="I1349"/>
      <c r="J1349"/>
      <c r="K1349"/>
      <c r="L1349"/>
      <c r="M1349"/>
      <c r="N1349"/>
      <c r="O1349"/>
    </row>
    <row r="1350" spans="2:15" x14ac:dyDescent="0.25">
      <c r="B1350"/>
      <c r="C1350"/>
      <c r="D1350"/>
      <c r="E1350"/>
      <c r="F1350"/>
      <c r="G1350"/>
      <c r="H1350"/>
      <c r="I1350"/>
      <c r="J1350"/>
      <c r="K1350"/>
      <c r="L1350"/>
      <c r="M1350"/>
      <c r="N1350"/>
      <c r="O1350"/>
    </row>
    <row r="1351" spans="2:15" x14ac:dyDescent="0.25">
      <c r="B1351"/>
      <c r="C1351"/>
      <c r="D1351"/>
      <c r="E1351"/>
      <c r="F1351"/>
      <c r="G1351"/>
      <c r="H1351"/>
      <c r="I1351"/>
      <c r="J1351"/>
      <c r="K1351"/>
      <c r="L1351"/>
      <c r="M1351"/>
      <c r="N1351"/>
      <c r="O1351"/>
    </row>
    <row r="1352" spans="2:15" x14ac:dyDescent="0.25">
      <c r="B1352"/>
      <c r="C1352"/>
      <c r="D1352"/>
      <c r="E1352"/>
      <c r="F1352"/>
      <c r="G1352"/>
      <c r="H1352"/>
      <c r="I1352"/>
      <c r="J1352"/>
      <c r="K1352"/>
      <c r="L1352"/>
      <c r="M1352"/>
      <c r="N1352"/>
      <c r="O1352"/>
    </row>
    <row r="1353" spans="2:15" x14ac:dyDescent="0.25">
      <c r="B1353"/>
      <c r="C1353"/>
      <c r="D1353"/>
      <c r="E1353"/>
      <c r="F1353"/>
      <c r="G1353"/>
      <c r="H1353"/>
      <c r="I1353"/>
      <c r="J1353"/>
      <c r="K1353"/>
      <c r="L1353"/>
      <c r="M1353"/>
      <c r="N1353"/>
      <c r="O1353"/>
    </row>
    <row r="1354" spans="2:15" x14ac:dyDescent="0.25">
      <c r="B1354"/>
      <c r="C1354"/>
      <c r="D1354"/>
      <c r="E1354"/>
      <c r="F1354"/>
      <c r="G1354"/>
      <c r="H1354"/>
      <c r="I1354"/>
      <c r="J1354"/>
      <c r="K1354"/>
      <c r="L1354"/>
      <c r="M1354"/>
      <c r="N1354"/>
      <c r="O1354"/>
    </row>
    <row r="1355" spans="2:15" x14ac:dyDescent="0.25">
      <c r="B1355"/>
      <c r="C1355"/>
      <c r="D1355"/>
      <c r="E1355"/>
      <c r="F1355"/>
      <c r="G1355"/>
      <c r="H1355"/>
      <c r="I1355"/>
      <c r="J1355"/>
      <c r="K1355"/>
      <c r="L1355"/>
      <c r="M1355"/>
      <c r="N1355"/>
      <c r="O1355"/>
    </row>
    <row r="1356" spans="2:15" x14ac:dyDescent="0.25">
      <c r="B1356"/>
      <c r="C1356"/>
      <c r="D1356"/>
      <c r="E1356"/>
      <c r="F1356"/>
      <c r="G1356"/>
      <c r="H1356"/>
      <c r="I1356"/>
      <c r="J1356"/>
      <c r="K1356"/>
      <c r="L1356"/>
      <c r="M1356"/>
      <c r="N1356"/>
      <c r="O1356"/>
    </row>
    <row r="1357" spans="2:15" x14ac:dyDescent="0.25">
      <c r="B1357"/>
      <c r="C1357"/>
      <c r="D1357"/>
      <c r="E1357"/>
      <c r="F1357"/>
      <c r="G1357"/>
      <c r="H1357"/>
      <c r="I1357"/>
      <c r="J1357"/>
      <c r="K1357"/>
      <c r="L1357"/>
      <c r="M1357"/>
      <c r="N1357"/>
      <c r="O1357"/>
    </row>
    <row r="1358" spans="2:15" x14ac:dyDescent="0.25">
      <c r="B1358"/>
      <c r="C1358"/>
      <c r="D1358"/>
      <c r="E1358"/>
      <c r="F1358"/>
      <c r="G1358"/>
      <c r="H1358"/>
      <c r="I1358"/>
      <c r="J1358"/>
      <c r="K1358"/>
      <c r="L1358"/>
      <c r="M1358"/>
      <c r="N1358"/>
      <c r="O1358"/>
    </row>
    <row r="1359" spans="2:15" x14ac:dyDescent="0.25">
      <c r="B1359"/>
      <c r="C1359"/>
      <c r="D1359"/>
      <c r="E1359"/>
      <c r="F1359"/>
      <c r="G1359"/>
      <c r="H1359"/>
      <c r="I1359"/>
      <c r="J1359"/>
      <c r="K1359"/>
      <c r="L1359"/>
      <c r="M1359"/>
      <c r="N1359"/>
      <c r="O1359"/>
    </row>
    <row r="1360" spans="2:15" x14ac:dyDescent="0.25">
      <c r="B1360"/>
      <c r="C1360"/>
      <c r="D1360"/>
      <c r="E1360"/>
      <c r="F1360"/>
      <c r="G1360"/>
      <c r="H1360"/>
      <c r="I1360"/>
      <c r="J1360"/>
      <c r="K1360"/>
      <c r="L1360"/>
      <c r="M1360"/>
      <c r="N1360"/>
      <c r="O1360"/>
    </row>
    <row r="1361" spans="2:15" x14ac:dyDescent="0.25">
      <c r="B1361"/>
      <c r="C1361"/>
      <c r="D1361"/>
      <c r="E1361"/>
      <c r="F1361"/>
      <c r="G1361"/>
      <c r="H1361"/>
      <c r="I1361"/>
      <c r="J1361"/>
      <c r="K1361"/>
      <c r="L1361"/>
      <c r="M1361"/>
      <c r="N1361"/>
      <c r="O1361"/>
    </row>
    <row r="1362" spans="2:15" x14ac:dyDescent="0.25">
      <c r="B1362"/>
      <c r="C1362"/>
      <c r="D1362"/>
      <c r="E1362"/>
      <c r="F1362"/>
      <c r="G1362"/>
      <c r="H1362"/>
      <c r="I1362"/>
      <c r="J1362"/>
      <c r="K1362"/>
      <c r="L1362"/>
      <c r="M1362"/>
      <c r="N1362"/>
      <c r="O1362"/>
    </row>
    <row r="1363" spans="2:15" x14ac:dyDescent="0.25">
      <c r="B1363"/>
      <c r="C1363"/>
      <c r="D1363"/>
      <c r="E1363"/>
      <c r="F1363"/>
      <c r="G1363"/>
      <c r="H1363"/>
      <c r="I1363"/>
      <c r="J1363"/>
      <c r="K1363"/>
      <c r="L1363"/>
      <c r="M1363"/>
      <c r="N1363"/>
      <c r="O1363"/>
    </row>
    <row r="1364" spans="2:15" x14ac:dyDescent="0.25">
      <c r="B1364"/>
      <c r="C1364"/>
      <c r="D1364"/>
      <c r="E1364"/>
      <c r="F1364"/>
      <c r="G1364"/>
      <c r="H1364"/>
      <c r="I1364"/>
      <c r="J1364"/>
      <c r="K1364"/>
      <c r="L1364"/>
      <c r="M1364"/>
      <c r="N1364"/>
      <c r="O1364"/>
    </row>
    <row r="1365" spans="2:15" x14ac:dyDescent="0.25">
      <c r="B1365"/>
      <c r="C1365"/>
      <c r="D1365"/>
      <c r="E1365"/>
      <c r="F1365"/>
      <c r="G1365"/>
      <c r="H1365"/>
      <c r="I1365"/>
      <c r="J1365"/>
      <c r="K1365"/>
      <c r="L1365"/>
      <c r="M1365"/>
      <c r="N1365"/>
      <c r="O1365"/>
    </row>
    <row r="1366" spans="2:15" x14ac:dyDescent="0.25">
      <c r="B1366"/>
      <c r="C1366"/>
      <c r="D1366"/>
      <c r="E1366"/>
      <c r="F1366"/>
      <c r="G1366"/>
      <c r="H1366"/>
      <c r="I1366"/>
      <c r="J1366"/>
      <c r="K1366"/>
      <c r="L1366"/>
      <c r="M1366"/>
      <c r="N1366"/>
      <c r="O1366"/>
    </row>
    <row r="1367" spans="2:15" x14ac:dyDescent="0.25">
      <c r="B1367"/>
      <c r="C1367"/>
      <c r="D1367"/>
      <c r="E1367"/>
      <c r="F1367"/>
      <c r="G1367"/>
      <c r="H1367"/>
      <c r="I1367"/>
      <c r="J1367"/>
      <c r="K1367"/>
      <c r="L1367"/>
      <c r="M1367"/>
      <c r="N1367"/>
      <c r="O1367"/>
    </row>
    <row r="1368" spans="2:15" x14ac:dyDescent="0.25">
      <c r="B1368"/>
      <c r="C1368"/>
      <c r="D1368"/>
      <c r="E1368"/>
      <c r="F1368"/>
      <c r="G1368"/>
      <c r="H1368"/>
      <c r="I1368"/>
      <c r="J1368"/>
      <c r="K1368"/>
      <c r="L1368"/>
      <c r="M1368"/>
      <c r="N1368"/>
      <c r="O1368"/>
    </row>
    <row r="1369" spans="2:15" x14ac:dyDescent="0.25">
      <c r="B1369"/>
      <c r="C1369"/>
      <c r="D1369"/>
      <c r="E1369"/>
      <c r="F1369"/>
      <c r="G1369"/>
      <c r="H1369"/>
      <c r="I1369"/>
      <c r="J1369"/>
      <c r="K1369"/>
      <c r="L1369"/>
      <c r="M1369"/>
      <c r="N1369"/>
      <c r="O1369"/>
    </row>
    <row r="1370" spans="2:15" x14ac:dyDescent="0.25">
      <c r="B1370"/>
      <c r="C1370"/>
      <c r="D1370"/>
      <c r="E1370"/>
      <c r="F1370"/>
      <c r="G1370"/>
      <c r="H1370"/>
      <c r="I1370"/>
      <c r="J1370"/>
      <c r="K1370"/>
      <c r="L1370"/>
      <c r="M1370"/>
      <c r="N1370"/>
      <c r="O1370"/>
    </row>
    <row r="1371" spans="2:15" x14ac:dyDescent="0.25">
      <c r="B1371"/>
      <c r="C1371"/>
      <c r="D1371"/>
      <c r="E1371"/>
      <c r="F1371"/>
      <c r="G1371"/>
      <c r="H1371"/>
      <c r="I1371"/>
      <c r="J1371"/>
      <c r="K1371"/>
      <c r="L1371"/>
      <c r="M1371"/>
      <c r="N1371"/>
      <c r="O1371"/>
    </row>
    <row r="1372" spans="2:15" x14ac:dyDescent="0.25">
      <c r="B1372"/>
      <c r="C1372"/>
      <c r="D1372"/>
      <c r="E1372"/>
      <c r="F1372"/>
      <c r="G1372"/>
      <c r="H1372"/>
      <c r="I1372"/>
      <c r="J1372"/>
      <c r="K1372"/>
      <c r="L1372"/>
      <c r="M1372"/>
      <c r="N1372"/>
      <c r="O1372"/>
    </row>
    <row r="1373" spans="2:15" x14ac:dyDescent="0.25">
      <c r="B1373"/>
      <c r="C1373"/>
      <c r="D1373"/>
      <c r="E1373"/>
      <c r="F1373"/>
      <c r="G1373"/>
      <c r="H1373"/>
      <c r="I1373"/>
      <c r="J1373"/>
      <c r="K1373"/>
      <c r="L1373"/>
      <c r="M1373"/>
      <c r="N1373"/>
      <c r="O1373"/>
    </row>
    <row r="1374" spans="2:15" x14ac:dyDescent="0.25">
      <c r="B1374"/>
      <c r="C1374"/>
      <c r="D1374"/>
      <c r="E1374"/>
      <c r="F1374"/>
      <c r="G1374"/>
      <c r="H1374"/>
      <c r="I1374"/>
      <c r="J1374"/>
      <c r="K1374"/>
      <c r="L1374"/>
      <c r="M1374"/>
      <c r="N1374"/>
      <c r="O1374"/>
    </row>
    <row r="1375" spans="2:15" x14ac:dyDescent="0.25">
      <c r="B1375"/>
      <c r="C1375"/>
      <c r="D1375"/>
      <c r="E1375"/>
      <c r="F1375"/>
      <c r="G1375"/>
      <c r="H1375"/>
      <c r="I1375"/>
      <c r="J1375"/>
      <c r="K1375"/>
      <c r="L1375"/>
      <c r="M1375"/>
      <c r="N1375"/>
      <c r="O1375"/>
    </row>
    <row r="1376" spans="2:15" x14ac:dyDescent="0.25">
      <c r="B1376"/>
      <c r="C1376"/>
      <c r="D1376"/>
      <c r="E1376"/>
      <c r="F1376"/>
      <c r="G1376"/>
      <c r="H1376"/>
      <c r="I1376"/>
      <c r="J1376"/>
      <c r="K1376"/>
      <c r="L1376"/>
      <c r="M1376"/>
      <c r="N1376"/>
      <c r="O1376"/>
    </row>
    <row r="1377" spans="2:15" x14ac:dyDescent="0.25">
      <c r="B1377"/>
      <c r="C1377"/>
      <c r="D1377"/>
      <c r="E1377"/>
      <c r="F1377"/>
      <c r="G1377"/>
      <c r="H1377"/>
      <c r="I1377"/>
      <c r="J1377"/>
      <c r="K1377"/>
      <c r="L1377"/>
      <c r="M1377"/>
      <c r="N1377"/>
      <c r="O1377"/>
    </row>
    <row r="1378" spans="2:15" x14ac:dyDescent="0.25">
      <c r="B1378"/>
      <c r="C1378"/>
      <c r="D1378"/>
      <c r="E1378"/>
      <c r="F1378"/>
      <c r="G1378"/>
      <c r="H1378"/>
      <c r="I1378"/>
      <c r="J1378"/>
      <c r="K1378"/>
      <c r="L1378"/>
      <c r="M1378"/>
      <c r="N1378"/>
      <c r="O1378"/>
    </row>
    <row r="1379" spans="2:15" x14ac:dyDescent="0.25">
      <c r="B1379"/>
      <c r="C1379"/>
      <c r="D1379"/>
      <c r="E1379"/>
      <c r="F1379"/>
      <c r="G1379"/>
      <c r="H1379"/>
      <c r="I1379"/>
      <c r="J1379"/>
      <c r="K1379"/>
      <c r="L1379"/>
      <c r="M1379"/>
      <c r="N1379"/>
      <c r="O1379"/>
    </row>
    <row r="1380" spans="2:15" x14ac:dyDescent="0.25">
      <c r="B1380"/>
      <c r="C1380"/>
      <c r="D1380"/>
      <c r="E1380"/>
      <c r="F1380"/>
      <c r="G1380"/>
      <c r="H1380"/>
      <c r="I1380"/>
      <c r="J1380"/>
      <c r="K1380"/>
      <c r="L1380"/>
      <c r="M1380"/>
      <c r="N1380"/>
      <c r="O1380"/>
    </row>
    <row r="1381" spans="2:15" x14ac:dyDescent="0.25">
      <c r="B1381"/>
      <c r="C1381"/>
      <c r="D1381"/>
      <c r="E1381"/>
      <c r="F1381"/>
      <c r="G1381"/>
      <c r="H1381"/>
      <c r="I1381"/>
      <c r="J1381"/>
      <c r="K1381"/>
      <c r="L1381"/>
      <c r="M1381"/>
      <c r="N1381"/>
      <c r="O1381"/>
    </row>
    <row r="1382" spans="2:15" x14ac:dyDescent="0.25">
      <c r="B1382"/>
      <c r="C1382"/>
      <c r="D1382"/>
      <c r="E1382"/>
      <c r="F1382"/>
      <c r="G1382"/>
      <c r="H1382"/>
      <c r="I1382"/>
      <c r="J1382"/>
      <c r="K1382"/>
      <c r="L1382"/>
      <c r="M1382"/>
      <c r="N1382"/>
      <c r="O1382"/>
    </row>
    <row r="1383" spans="2:15" x14ac:dyDescent="0.25">
      <c r="B1383"/>
      <c r="C1383"/>
      <c r="D1383"/>
      <c r="E1383"/>
      <c r="F1383"/>
      <c r="G1383"/>
      <c r="H1383"/>
      <c r="I1383"/>
      <c r="J1383"/>
      <c r="K1383"/>
      <c r="L1383"/>
      <c r="M1383"/>
      <c r="N1383"/>
      <c r="O1383"/>
    </row>
    <row r="1384" spans="2:15" x14ac:dyDescent="0.25">
      <c r="B1384"/>
      <c r="C1384"/>
      <c r="D1384"/>
      <c r="E1384"/>
      <c r="F1384"/>
      <c r="G1384"/>
      <c r="H1384"/>
      <c r="I1384"/>
      <c r="J1384"/>
      <c r="K1384"/>
      <c r="L1384"/>
      <c r="M1384"/>
      <c r="N1384"/>
      <c r="O1384"/>
    </row>
    <row r="1385" spans="2:15" x14ac:dyDescent="0.25">
      <c r="B1385"/>
      <c r="C1385"/>
      <c r="D1385"/>
      <c r="E1385"/>
      <c r="F1385"/>
      <c r="G1385"/>
      <c r="H1385"/>
      <c r="I1385"/>
      <c r="J1385"/>
      <c r="K1385"/>
      <c r="L1385"/>
      <c r="M1385"/>
      <c r="N1385"/>
      <c r="O1385"/>
    </row>
    <row r="1386" spans="2:15" x14ac:dyDescent="0.25">
      <c r="B1386"/>
      <c r="C1386"/>
      <c r="D1386"/>
      <c r="E1386"/>
      <c r="F1386"/>
      <c r="G1386"/>
      <c r="H1386"/>
      <c r="I1386"/>
      <c r="J1386"/>
      <c r="K1386"/>
      <c r="L1386"/>
      <c r="M1386"/>
      <c r="N1386"/>
      <c r="O1386"/>
    </row>
    <row r="1387" spans="2:15" x14ac:dyDescent="0.25">
      <c r="B1387"/>
      <c r="C1387"/>
      <c r="D1387"/>
      <c r="E1387"/>
      <c r="F1387"/>
      <c r="G1387"/>
      <c r="H1387"/>
      <c r="I1387"/>
      <c r="J1387"/>
      <c r="K1387"/>
      <c r="L1387"/>
      <c r="M1387"/>
      <c r="N1387"/>
      <c r="O1387"/>
    </row>
    <row r="1388" spans="2:15" x14ac:dyDescent="0.25">
      <c r="B1388"/>
      <c r="C1388"/>
      <c r="D1388"/>
      <c r="E1388"/>
      <c r="F1388"/>
      <c r="G1388"/>
      <c r="H1388"/>
      <c r="I1388"/>
      <c r="J1388"/>
      <c r="K1388"/>
      <c r="L1388"/>
      <c r="M1388"/>
      <c r="N1388"/>
      <c r="O1388"/>
    </row>
    <row r="1389" spans="2:15" x14ac:dyDescent="0.25">
      <c r="B1389"/>
      <c r="C1389"/>
      <c r="D1389"/>
      <c r="E1389"/>
      <c r="F1389"/>
      <c r="G1389"/>
      <c r="H1389"/>
      <c r="I1389"/>
      <c r="J1389"/>
      <c r="K1389"/>
      <c r="L1389"/>
      <c r="M1389"/>
      <c r="N1389"/>
      <c r="O1389"/>
    </row>
    <row r="1390" spans="2:15" x14ac:dyDescent="0.25">
      <c r="B1390"/>
      <c r="C1390"/>
      <c r="D1390"/>
      <c r="E1390"/>
      <c r="F1390"/>
      <c r="G1390"/>
      <c r="H1390"/>
      <c r="I1390"/>
      <c r="J1390"/>
      <c r="K1390"/>
      <c r="L1390"/>
      <c r="M1390"/>
      <c r="N1390"/>
      <c r="O1390"/>
    </row>
    <row r="1391" spans="2:15" x14ac:dyDescent="0.25">
      <c r="B1391"/>
      <c r="C1391"/>
      <c r="D1391"/>
      <c r="E1391"/>
      <c r="F1391"/>
      <c r="G1391"/>
      <c r="H1391"/>
      <c r="I1391"/>
      <c r="J1391"/>
      <c r="K1391"/>
      <c r="L1391"/>
      <c r="M1391"/>
      <c r="N1391"/>
      <c r="O1391"/>
    </row>
    <row r="1392" spans="2:15" x14ac:dyDescent="0.25">
      <c r="B1392"/>
      <c r="C1392"/>
      <c r="D1392"/>
      <c r="E1392"/>
      <c r="F1392"/>
      <c r="G1392"/>
      <c r="H1392"/>
      <c r="I1392"/>
      <c r="J1392"/>
      <c r="K1392"/>
      <c r="L1392"/>
      <c r="M1392"/>
      <c r="N1392"/>
      <c r="O1392"/>
    </row>
    <row r="1393" spans="2:15" x14ac:dyDescent="0.25">
      <c r="B1393"/>
      <c r="C1393"/>
      <c r="D1393"/>
      <c r="E1393"/>
      <c r="F1393"/>
      <c r="G1393"/>
      <c r="H1393"/>
      <c r="I1393"/>
      <c r="J1393"/>
      <c r="K1393"/>
      <c r="L1393"/>
      <c r="M1393"/>
      <c r="N1393"/>
      <c r="O1393"/>
    </row>
    <row r="1394" spans="2:15" x14ac:dyDescent="0.25">
      <c r="B1394"/>
      <c r="C1394"/>
      <c r="D1394"/>
      <c r="E1394"/>
      <c r="F1394"/>
      <c r="G1394"/>
      <c r="H1394"/>
      <c r="I1394"/>
      <c r="J1394"/>
      <c r="K1394"/>
      <c r="L1394"/>
      <c r="M1394"/>
      <c r="N1394"/>
      <c r="O1394"/>
    </row>
    <row r="1395" spans="2:15" x14ac:dyDescent="0.25">
      <c r="B1395"/>
      <c r="C1395"/>
      <c r="D1395"/>
      <c r="E1395"/>
      <c r="F1395"/>
      <c r="G1395"/>
      <c r="H1395"/>
      <c r="I1395"/>
      <c r="J1395"/>
      <c r="K1395"/>
      <c r="L1395"/>
      <c r="M1395"/>
      <c r="N1395"/>
      <c r="O1395"/>
    </row>
    <row r="1396" spans="2:15" x14ac:dyDescent="0.25">
      <c r="B1396"/>
      <c r="C1396"/>
      <c r="D1396"/>
      <c r="E1396"/>
      <c r="F1396"/>
      <c r="G1396"/>
      <c r="H1396"/>
      <c r="I1396"/>
      <c r="J1396"/>
      <c r="K1396"/>
      <c r="L1396"/>
      <c r="M1396"/>
      <c r="N1396"/>
      <c r="O1396"/>
    </row>
    <row r="1397" spans="2:15" x14ac:dyDescent="0.25">
      <c r="B1397"/>
      <c r="C1397"/>
      <c r="D1397"/>
      <c r="E1397"/>
      <c r="F1397"/>
      <c r="G1397"/>
      <c r="H1397"/>
      <c r="I1397"/>
      <c r="J1397"/>
      <c r="K1397"/>
      <c r="L1397"/>
      <c r="M1397"/>
      <c r="N1397"/>
      <c r="O1397"/>
    </row>
    <row r="1398" spans="2:15" x14ac:dyDescent="0.25">
      <c r="B1398"/>
      <c r="C1398"/>
      <c r="D1398"/>
      <c r="E1398"/>
      <c r="F1398"/>
      <c r="G1398"/>
      <c r="H1398"/>
      <c r="I1398"/>
      <c r="J1398"/>
      <c r="K1398"/>
      <c r="L1398"/>
      <c r="M1398"/>
      <c r="N1398"/>
      <c r="O1398"/>
    </row>
    <row r="1399" spans="2:15" x14ac:dyDescent="0.25">
      <c r="B1399"/>
      <c r="C1399"/>
      <c r="D1399"/>
      <c r="E1399"/>
      <c r="F1399"/>
      <c r="G1399"/>
      <c r="H1399"/>
      <c r="I1399"/>
      <c r="J1399"/>
      <c r="K1399"/>
      <c r="L1399"/>
      <c r="M1399"/>
      <c r="N1399"/>
      <c r="O1399"/>
    </row>
    <row r="1400" spans="2:15" x14ac:dyDescent="0.25">
      <c r="B1400"/>
      <c r="C1400"/>
      <c r="D1400"/>
      <c r="E1400"/>
      <c r="F1400"/>
      <c r="G1400"/>
      <c r="H1400"/>
      <c r="I1400"/>
      <c r="J1400"/>
      <c r="K1400"/>
      <c r="L1400"/>
      <c r="M1400"/>
      <c r="N1400"/>
      <c r="O1400"/>
    </row>
    <row r="1401" spans="2:15" x14ac:dyDescent="0.25">
      <c r="B1401"/>
      <c r="C1401"/>
      <c r="D1401"/>
      <c r="E1401"/>
      <c r="F1401"/>
      <c r="G1401"/>
      <c r="H1401"/>
      <c r="I1401"/>
      <c r="J1401"/>
      <c r="K1401"/>
      <c r="L1401"/>
      <c r="M1401"/>
      <c r="N1401"/>
      <c r="O1401"/>
    </row>
    <row r="1402" spans="2:15" x14ac:dyDescent="0.25">
      <c r="B1402"/>
      <c r="C1402"/>
      <c r="D1402"/>
      <c r="E1402"/>
      <c r="F1402"/>
      <c r="G1402"/>
      <c r="H1402"/>
      <c r="I1402"/>
      <c r="J1402"/>
      <c r="K1402"/>
      <c r="L1402"/>
      <c r="M1402"/>
      <c r="N1402"/>
      <c r="O1402"/>
    </row>
    <row r="1403" spans="2:15" x14ac:dyDescent="0.25">
      <c r="B1403"/>
      <c r="C1403"/>
      <c r="D1403"/>
      <c r="E1403"/>
      <c r="F1403"/>
      <c r="G1403"/>
      <c r="H1403"/>
      <c r="I1403"/>
      <c r="J1403"/>
      <c r="K1403"/>
      <c r="L1403"/>
      <c r="M1403"/>
      <c r="N1403"/>
      <c r="O1403"/>
    </row>
    <row r="1404" spans="2:15" x14ac:dyDescent="0.25">
      <c r="B1404"/>
      <c r="C1404"/>
      <c r="D1404"/>
      <c r="E1404"/>
      <c r="F1404"/>
      <c r="G1404"/>
      <c r="H1404"/>
      <c r="I1404"/>
      <c r="J1404"/>
      <c r="K1404"/>
      <c r="L1404"/>
      <c r="M1404"/>
      <c r="N1404"/>
      <c r="O1404"/>
    </row>
    <row r="1405" spans="2:15" x14ac:dyDescent="0.25">
      <c r="B1405"/>
      <c r="C1405"/>
      <c r="D1405"/>
      <c r="E1405"/>
      <c r="F1405"/>
      <c r="G1405"/>
      <c r="H1405"/>
      <c r="I1405"/>
      <c r="J1405"/>
      <c r="K1405"/>
      <c r="L1405"/>
      <c r="M1405"/>
      <c r="N1405"/>
      <c r="O1405"/>
    </row>
    <row r="1406" spans="2:15" x14ac:dyDescent="0.25">
      <c r="B1406"/>
      <c r="C1406"/>
      <c r="D1406"/>
      <c r="E1406"/>
      <c r="F1406"/>
      <c r="G1406"/>
      <c r="H1406"/>
      <c r="I1406"/>
      <c r="J1406"/>
      <c r="K1406"/>
      <c r="L1406"/>
      <c r="M1406"/>
      <c r="N1406"/>
      <c r="O1406"/>
    </row>
    <row r="1407" spans="2:15" x14ac:dyDescent="0.25">
      <c r="B1407"/>
      <c r="C1407"/>
      <c r="D1407"/>
      <c r="E1407"/>
      <c r="F1407"/>
      <c r="G1407"/>
      <c r="H1407"/>
      <c r="I1407"/>
      <c r="J1407"/>
      <c r="K1407"/>
      <c r="L1407"/>
      <c r="M1407"/>
      <c r="N1407"/>
      <c r="O1407"/>
    </row>
    <row r="1408" spans="2:15" x14ac:dyDescent="0.25">
      <c r="B1408"/>
      <c r="C1408"/>
      <c r="D1408"/>
      <c r="E1408"/>
      <c r="F1408"/>
      <c r="G1408"/>
      <c r="H1408"/>
      <c r="I1408"/>
      <c r="J1408"/>
      <c r="K1408"/>
      <c r="L1408"/>
      <c r="M1408"/>
      <c r="N1408"/>
      <c r="O1408"/>
    </row>
    <row r="1409" spans="2:15" x14ac:dyDescent="0.25">
      <c r="B1409"/>
      <c r="C1409"/>
      <c r="D1409"/>
      <c r="E1409"/>
      <c r="F1409"/>
      <c r="G1409"/>
      <c r="H1409"/>
      <c r="I1409"/>
      <c r="J1409"/>
      <c r="K1409"/>
      <c r="L1409"/>
      <c r="M1409"/>
      <c r="N1409"/>
      <c r="O1409"/>
    </row>
    <row r="1410" spans="2:15" x14ac:dyDescent="0.25">
      <c r="B1410"/>
      <c r="C1410"/>
      <c r="D1410"/>
      <c r="E1410"/>
      <c r="F1410"/>
      <c r="G1410"/>
      <c r="H1410"/>
      <c r="I1410"/>
      <c r="J1410"/>
      <c r="K1410"/>
      <c r="L1410"/>
      <c r="M1410"/>
      <c r="N1410"/>
      <c r="O1410"/>
    </row>
    <row r="1411" spans="2:15" x14ac:dyDescent="0.25">
      <c r="B1411"/>
      <c r="C1411"/>
      <c r="D1411"/>
      <c r="E1411"/>
      <c r="F1411"/>
      <c r="G1411"/>
      <c r="H1411"/>
      <c r="I1411"/>
      <c r="J1411"/>
      <c r="K1411"/>
      <c r="L1411"/>
      <c r="M1411"/>
      <c r="N1411"/>
      <c r="O1411"/>
    </row>
    <row r="1412" spans="2:15" x14ac:dyDescent="0.25">
      <c r="B1412"/>
      <c r="C1412"/>
      <c r="D1412"/>
      <c r="E1412"/>
      <c r="F1412"/>
      <c r="G1412"/>
      <c r="H1412"/>
      <c r="I1412"/>
      <c r="J1412"/>
      <c r="K1412"/>
      <c r="L1412"/>
      <c r="M1412"/>
      <c r="N1412"/>
      <c r="O1412"/>
    </row>
    <row r="1413" spans="2:15" x14ac:dyDescent="0.25">
      <c r="B1413"/>
      <c r="C1413"/>
      <c r="D1413"/>
      <c r="E1413"/>
      <c r="F1413"/>
      <c r="G1413"/>
      <c r="H1413"/>
      <c r="I1413"/>
      <c r="J1413"/>
      <c r="K1413"/>
      <c r="L1413"/>
      <c r="M1413"/>
      <c r="N1413"/>
      <c r="O1413"/>
    </row>
    <row r="1414" spans="2:15" x14ac:dyDescent="0.25">
      <c r="B1414"/>
      <c r="C1414"/>
      <c r="D1414"/>
      <c r="E1414"/>
      <c r="F1414"/>
      <c r="G1414"/>
      <c r="H1414"/>
      <c r="I1414"/>
      <c r="J1414"/>
      <c r="K1414"/>
      <c r="L1414"/>
      <c r="M1414"/>
      <c r="N1414"/>
      <c r="O1414"/>
    </row>
    <row r="1415" spans="2:15" x14ac:dyDescent="0.25">
      <c r="B1415"/>
      <c r="C1415"/>
      <c r="D1415"/>
      <c r="E1415"/>
      <c r="F1415"/>
      <c r="G1415"/>
      <c r="H1415"/>
      <c r="I1415"/>
      <c r="J1415"/>
      <c r="K1415"/>
      <c r="L1415"/>
      <c r="M1415"/>
      <c r="N1415"/>
      <c r="O1415"/>
    </row>
    <row r="1416" spans="2:15" x14ac:dyDescent="0.25">
      <c r="B1416"/>
      <c r="C1416"/>
      <c r="D1416"/>
      <c r="E1416"/>
      <c r="F1416"/>
      <c r="G1416"/>
      <c r="H1416"/>
      <c r="I1416"/>
      <c r="J1416"/>
      <c r="K1416"/>
      <c r="L1416"/>
      <c r="M1416"/>
      <c r="N1416"/>
      <c r="O1416"/>
    </row>
    <row r="1417" spans="2:15" x14ac:dyDescent="0.25">
      <c r="B1417"/>
      <c r="C1417"/>
      <c r="D1417"/>
      <c r="E1417"/>
      <c r="F1417"/>
      <c r="G1417"/>
      <c r="H1417"/>
      <c r="I1417"/>
      <c r="J1417"/>
      <c r="K1417"/>
      <c r="L1417"/>
      <c r="M1417"/>
      <c r="N1417"/>
      <c r="O1417"/>
    </row>
    <row r="1418" spans="2:15" x14ac:dyDescent="0.25">
      <c r="B1418"/>
      <c r="C1418"/>
      <c r="D1418"/>
      <c r="E1418"/>
      <c r="F1418"/>
      <c r="G1418"/>
      <c r="H1418"/>
      <c r="I1418"/>
      <c r="J1418"/>
      <c r="K1418"/>
      <c r="L1418"/>
      <c r="M1418"/>
      <c r="N1418"/>
      <c r="O1418"/>
    </row>
    <row r="1419" spans="2:15" x14ac:dyDescent="0.25">
      <c r="B1419"/>
      <c r="C1419"/>
      <c r="D1419"/>
      <c r="E1419"/>
      <c r="F1419"/>
      <c r="G1419"/>
      <c r="H1419"/>
      <c r="I1419"/>
      <c r="J1419"/>
      <c r="K1419"/>
      <c r="L1419"/>
      <c r="M1419"/>
      <c r="N1419"/>
      <c r="O1419"/>
    </row>
    <row r="1420" spans="2:15" x14ac:dyDescent="0.25">
      <c r="B1420"/>
      <c r="C1420"/>
      <c r="D1420"/>
      <c r="E1420"/>
      <c r="F1420"/>
      <c r="G1420"/>
      <c r="H1420"/>
      <c r="I1420"/>
      <c r="J1420"/>
      <c r="K1420"/>
      <c r="L1420"/>
      <c r="M1420"/>
      <c r="N1420"/>
      <c r="O1420"/>
    </row>
    <row r="1421" spans="2:15" x14ac:dyDescent="0.25">
      <c r="B1421"/>
      <c r="C1421"/>
      <c r="D1421"/>
      <c r="E1421"/>
      <c r="F1421"/>
      <c r="G1421"/>
      <c r="H1421"/>
      <c r="I1421"/>
      <c r="J1421"/>
      <c r="K1421"/>
      <c r="L1421"/>
      <c r="M1421"/>
      <c r="N1421"/>
      <c r="O1421"/>
    </row>
    <row r="1422" spans="2:15" x14ac:dyDescent="0.25">
      <c r="B1422"/>
      <c r="C1422"/>
      <c r="D1422"/>
      <c r="E1422"/>
      <c r="F1422"/>
      <c r="G1422"/>
      <c r="H1422"/>
      <c r="I1422"/>
      <c r="J1422"/>
      <c r="K1422"/>
      <c r="L1422"/>
      <c r="M1422"/>
      <c r="N1422"/>
      <c r="O1422"/>
    </row>
    <row r="1423" spans="2:15" x14ac:dyDescent="0.25">
      <c r="B1423"/>
      <c r="C1423"/>
      <c r="D1423"/>
      <c r="E1423"/>
      <c r="F1423"/>
      <c r="G1423"/>
      <c r="H1423"/>
      <c r="I1423"/>
      <c r="J1423"/>
      <c r="K1423"/>
      <c r="L1423"/>
      <c r="M1423"/>
      <c r="N1423"/>
      <c r="O1423"/>
    </row>
    <row r="1424" spans="2:15" x14ac:dyDescent="0.25">
      <c r="B1424"/>
      <c r="C1424"/>
      <c r="D1424"/>
      <c r="E1424"/>
      <c r="F1424"/>
      <c r="G1424"/>
      <c r="H1424"/>
      <c r="I1424"/>
      <c r="J1424"/>
      <c r="K1424"/>
      <c r="L1424"/>
      <c r="M1424"/>
      <c r="N1424"/>
      <c r="O1424"/>
    </row>
    <row r="1425" spans="2:15" x14ac:dyDescent="0.25">
      <c r="B1425"/>
      <c r="C1425"/>
      <c r="D1425"/>
      <c r="E1425"/>
      <c r="F1425"/>
      <c r="G1425"/>
      <c r="H1425"/>
      <c r="I1425"/>
      <c r="J1425"/>
      <c r="K1425"/>
      <c r="L1425"/>
      <c r="M1425"/>
      <c r="N1425"/>
      <c r="O1425"/>
    </row>
    <row r="1426" spans="2:15" x14ac:dyDescent="0.25">
      <c r="B1426"/>
      <c r="C1426"/>
      <c r="D1426"/>
      <c r="E1426"/>
      <c r="F1426"/>
      <c r="G1426"/>
      <c r="H1426"/>
      <c r="I1426"/>
      <c r="J1426"/>
      <c r="K1426"/>
      <c r="L1426"/>
      <c r="M1426"/>
      <c r="N1426"/>
      <c r="O1426"/>
    </row>
    <row r="1427" spans="2:15" x14ac:dyDescent="0.25">
      <c r="B1427"/>
      <c r="C1427"/>
      <c r="D1427"/>
      <c r="E1427"/>
      <c r="F1427"/>
      <c r="G1427"/>
      <c r="H1427"/>
      <c r="I1427"/>
      <c r="J1427"/>
      <c r="K1427"/>
      <c r="L1427"/>
      <c r="M1427"/>
      <c r="N1427"/>
      <c r="O1427"/>
    </row>
    <row r="1428" spans="2:15" x14ac:dyDescent="0.25">
      <c r="B1428"/>
      <c r="C1428"/>
      <c r="D1428"/>
      <c r="E1428"/>
      <c r="F1428"/>
      <c r="G1428"/>
      <c r="H1428"/>
      <c r="I1428"/>
      <c r="J1428"/>
      <c r="K1428"/>
      <c r="L1428"/>
      <c r="M1428"/>
      <c r="N1428"/>
      <c r="O1428"/>
    </row>
    <row r="1429" spans="2:15" x14ac:dyDescent="0.25">
      <c r="B1429"/>
      <c r="C1429"/>
      <c r="D1429"/>
      <c r="E1429"/>
      <c r="F1429"/>
      <c r="G1429"/>
      <c r="H1429"/>
      <c r="I1429"/>
      <c r="J1429"/>
      <c r="K1429"/>
      <c r="L1429"/>
      <c r="M1429"/>
      <c r="N1429"/>
      <c r="O1429"/>
    </row>
    <row r="1430" spans="2:15" x14ac:dyDescent="0.25">
      <c r="B1430"/>
      <c r="C1430"/>
      <c r="D1430"/>
      <c r="E1430"/>
      <c r="F1430"/>
      <c r="G1430"/>
      <c r="H1430"/>
      <c r="I1430"/>
      <c r="J1430"/>
      <c r="K1430"/>
      <c r="L1430"/>
      <c r="M1430"/>
      <c r="N1430"/>
      <c r="O1430"/>
    </row>
    <row r="1431" spans="2:15" x14ac:dyDescent="0.25">
      <c r="B1431"/>
      <c r="C1431"/>
      <c r="D1431"/>
      <c r="E1431"/>
      <c r="F1431"/>
      <c r="G1431"/>
      <c r="H1431"/>
      <c r="I1431"/>
      <c r="J1431"/>
      <c r="K1431"/>
      <c r="L1431"/>
      <c r="M1431"/>
      <c r="N1431"/>
      <c r="O1431"/>
    </row>
    <row r="1432" spans="2:15" x14ac:dyDescent="0.25">
      <c r="B1432"/>
      <c r="C1432"/>
      <c r="D1432"/>
      <c r="E1432"/>
      <c r="F1432"/>
      <c r="G1432"/>
      <c r="H1432"/>
      <c r="I1432"/>
      <c r="J1432"/>
      <c r="K1432"/>
      <c r="L1432"/>
      <c r="M1432"/>
      <c r="N1432"/>
      <c r="O1432"/>
    </row>
    <row r="1433" spans="2:15" x14ac:dyDescent="0.25">
      <c r="B1433"/>
      <c r="C1433"/>
      <c r="D1433"/>
      <c r="E1433"/>
      <c r="F1433"/>
      <c r="G1433"/>
      <c r="H1433"/>
      <c r="I1433"/>
      <c r="J1433"/>
      <c r="K1433"/>
      <c r="L1433"/>
      <c r="M1433"/>
      <c r="N1433"/>
      <c r="O1433"/>
    </row>
    <row r="1434" spans="2:15" x14ac:dyDescent="0.25">
      <c r="B1434"/>
      <c r="C1434"/>
      <c r="D1434"/>
      <c r="E1434"/>
      <c r="F1434"/>
      <c r="G1434"/>
      <c r="H1434"/>
      <c r="I1434"/>
      <c r="J1434"/>
      <c r="K1434"/>
      <c r="L1434"/>
      <c r="M1434"/>
      <c r="N1434"/>
      <c r="O1434"/>
    </row>
    <row r="1435" spans="2:15" x14ac:dyDescent="0.25">
      <c r="B1435"/>
      <c r="C1435"/>
      <c r="D1435"/>
      <c r="E1435"/>
      <c r="F1435"/>
      <c r="G1435"/>
      <c r="H1435"/>
      <c r="I1435"/>
      <c r="J1435"/>
      <c r="K1435"/>
      <c r="L1435"/>
      <c r="M1435"/>
      <c r="N1435"/>
      <c r="O1435"/>
    </row>
    <row r="1436" spans="2:15" x14ac:dyDescent="0.25">
      <c r="B1436"/>
      <c r="C1436"/>
      <c r="D1436"/>
      <c r="E1436"/>
      <c r="F1436"/>
      <c r="G1436"/>
      <c r="H1436"/>
      <c r="I1436"/>
      <c r="J1436"/>
      <c r="K1436"/>
      <c r="L1436"/>
      <c r="M1436"/>
      <c r="N1436"/>
      <c r="O1436"/>
    </row>
    <row r="1437" spans="2:15" x14ac:dyDescent="0.25">
      <c r="B1437"/>
      <c r="C1437"/>
      <c r="D1437"/>
      <c r="E1437"/>
      <c r="F1437"/>
      <c r="G1437"/>
      <c r="H1437"/>
      <c r="I1437"/>
      <c r="J1437"/>
      <c r="K1437"/>
      <c r="L1437"/>
      <c r="M1437"/>
      <c r="N1437"/>
      <c r="O1437"/>
    </row>
    <row r="1438" spans="2:15" x14ac:dyDescent="0.25">
      <c r="B1438"/>
      <c r="C1438"/>
      <c r="D1438"/>
      <c r="E1438"/>
      <c r="F1438"/>
      <c r="G1438"/>
      <c r="H1438"/>
      <c r="I1438"/>
      <c r="J1438"/>
      <c r="K1438"/>
      <c r="L1438"/>
      <c r="M1438"/>
      <c r="N1438"/>
      <c r="O1438"/>
    </row>
    <row r="1439" spans="2:15" x14ac:dyDescent="0.25">
      <c r="B1439"/>
      <c r="C1439"/>
      <c r="D1439"/>
      <c r="E1439"/>
      <c r="F1439"/>
      <c r="G1439"/>
      <c r="H1439"/>
      <c r="I1439"/>
      <c r="J1439"/>
      <c r="K1439"/>
      <c r="L1439"/>
      <c r="M1439"/>
      <c r="N1439"/>
      <c r="O1439"/>
    </row>
    <row r="1440" spans="2:15" x14ac:dyDescent="0.25">
      <c r="B1440"/>
      <c r="C1440"/>
      <c r="D1440"/>
      <c r="E1440"/>
      <c r="F1440"/>
      <c r="G1440"/>
      <c r="H1440"/>
      <c r="I1440"/>
      <c r="J1440"/>
      <c r="K1440"/>
      <c r="L1440"/>
      <c r="M1440"/>
      <c r="N1440"/>
      <c r="O1440"/>
    </row>
    <row r="1441" spans="2:15" x14ac:dyDescent="0.25">
      <c r="B1441"/>
      <c r="C1441"/>
      <c r="D1441"/>
      <c r="E1441"/>
      <c r="F1441"/>
      <c r="G1441"/>
      <c r="H1441"/>
      <c r="I1441"/>
      <c r="J1441"/>
      <c r="K1441"/>
      <c r="L1441"/>
      <c r="M1441"/>
      <c r="N1441"/>
      <c r="O1441"/>
    </row>
    <row r="1442" spans="2:15" x14ac:dyDescent="0.25">
      <c r="B1442"/>
      <c r="C1442"/>
      <c r="D1442"/>
      <c r="E1442"/>
      <c r="F1442"/>
      <c r="G1442"/>
      <c r="H1442"/>
      <c r="I1442"/>
      <c r="J1442"/>
      <c r="K1442"/>
      <c r="L1442"/>
      <c r="M1442"/>
      <c r="N1442"/>
      <c r="O1442"/>
    </row>
    <row r="1443" spans="2:15" x14ac:dyDescent="0.25">
      <c r="B1443"/>
      <c r="C1443"/>
      <c r="D1443"/>
      <c r="E1443"/>
      <c r="F1443"/>
      <c r="G1443"/>
      <c r="H1443"/>
      <c r="I1443"/>
      <c r="J1443"/>
      <c r="K1443"/>
      <c r="L1443"/>
      <c r="M1443"/>
      <c r="N1443"/>
      <c r="O1443"/>
    </row>
    <row r="1444" spans="2:15" x14ac:dyDescent="0.25">
      <c r="B1444"/>
      <c r="C1444"/>
      <c r="D1444"/>
      <c r="E1444"/>
      <c r="F1444"/>
      <c r="G1444"/>
      <c r="H1444"/>
      <c r="I1444"/>
      <c r="J1444"/>
      <c r="K1444"/>
      <c r="L1444"/>
      <c r="M1444"/>
      <c r="N1444"/>
      <c r="O1444"/>
    </row>
    <row r="1445" spans="2:15" x14ac:dyDescent="0.25">
      <c r="B1445"/>
      <c r="C1445"/>
      <c r="D1445"/>
      <c r="E1445"/>
      <c r="F1445"/>
      <c r="G1445"/>
      <c r="H1445"/>
      <c r="I1445"/>
      <c r="J1445"/>
      <c r="K1445"/>
      <c r="L1445"/>
      <c r="M1445"/>
      <c r="N1445"/>
      <c r="O1445"/>
    </row>
    <row r="1446" spans="2:15" x14ac:dyDescent="0.25">
      <c r="B1446"/>
      <c r="C1446"/>
      <c r="D1446"/>
      <c r="E1446"/>
      <c r="F1446"/>
      <c r="G1446"/>
      <c r="H1446"/>
      <c r="I1446"/>
      <c r="J1446"/>
      <c r="K1446"/>
      <c r="L1446"/>
      <c r="M1446"/>
      <c r="N1446"/>
      <c r="O1446"/>
    </row>
    <row r="1447" spans="2:15" x14ac:dyDescent="0.25">
      <c r="B1447"/>
      <c r="C1447"/>
      <c r="D1447"/>
      <c r="E1447"/>
      <c r="F1447"/>
      <c r="G1447"/>
      <c r="H1447"/>
      <c r="I1447"/>
      <c r="J1447"/>
      <c r="K1447"/>
      <c r="L1447"/>
      <c r="M1447"/>
      <c r="N1447"/>
      <c r="O1447"/>
    </row>
    <row r="1448" spans="2:15" x14ac:dyDescent="0.25">
      <c r="B1448"/>
      <c r="C1448"/>
      <c r="D1448"/>
      <c r="E1448"/>
      <c r="F1448"/>
      <c r="G1448"/>
      <c r="H1448"/>
      <c r="I1448"/>
      <c r="J1448"/>
      <c r="K1448"/>
      <c r="L1448"/>
      <c r="M1448"/>
      <c r="N1448"/>
      <c r="O1448"/>
    </row>
    <row r="1449" spans="2:15" x14ac:dyDescent="0.25">
      <c r="B1449"/>
      <c r="C1449"/>
      <c r="D1449"/>
      <c r="E1449"/>
      <c r="F1449"/>
      <c r="G1449"/>
      <c r="H1449"/>
      <c r="I1449"/>
      <c r="J1449"/>
      <c r="K1449"/>
      <c r="L1449"/>
      <c r="M1449"/>
      <c r="N1449"/>
      <c r="O1449"/>
    </row>
    <row r="1450" spans="2:15" x14ac:dyDescent="0.25">
      <c r="B1450"/>
      <c r="C1450"/>
      <c r="D1450"/>
      <c r="E1450"/>
      <c r="F1450"/>
      <c r="G1450"/>
      <c r="H1450"/>
      <c r="I1450"/>
      <c r="J1450"/>
      <c r="K1450"/>
      <c r="L1450"/>
      <c r="M1450"/>
      <c r="N1450"/>
      <c r="O1450"/>
    </row>
    <row r="1451" spans="2:15" x14ac:dyDescent="0.25">
      <c r="B1451"/>
      <c r="C1451"/>
      <c r="D1451"/>
      <c r="E1451"/>
      <c r="F1451"/>
      <c r="G1451"/>
      <c r="H1451"/>
      <c r="I1451"/>
      <c r="J1451"/>
      <c r="K1451"/>
      <c r="L1451"/>
      <c r="M1451"/>
      <c r="N1451"/>
      <c r="O1451"/>
    </row>
    <row r="1452" spans="2:15" x14ac:dyDescent="0.25">
      <c r="B1452"/>
      <c r="C1452"/>
      <c r="D1452"/>
      <c r="E1452"/>
      <c r="F1452"/>
      <c r="G1452"/>
      <c r="H1452"/>
      <c r="I1452"/>
      <c r="J1452"/>
      <c r="K1452"/>
      <c r="L1452"/>
      <c r="M1452"/>
      <c r="N1452"/>
      <c r="O1452"/>
    </row>
    <row r="1453" spans="2:15" x14ac:dyDescent="0.25">
      <c r="B1453"/>
      <c r="C1453"/>
      <c r="D1453"/>
      <c r="E1453"/>
      <c r="F1453"/>
      <c r="G1453"/>
      <c r="H1453"/>
      <c r="I1453"/>
      <c r="J1453"/>
      <c r="K1453"/>
      <c r="L1453"/>
      <c r="M1453"/>
      <c r="N1453"/>
      <c r="O1453"/>
    </row>
    <row r="1454" spans="2:15" x14ac:dyDescent="0.25">
      <c r="B1454"/>
      <c r="C1454"/>
      <c r="D1454"/>
      <c r="E1454"/>
      <c r="F1454"/>
      <c r="G1454"/>
      <c r="H1454"/>
      <c r="I1454"/>
      <c r="J1454"/>
      <c r="K1454"/>
      <c r="L1454"/>
      <c r="M1454"/>
      <c r="N1454"/>
      <c r="O1454"/>
    </row>
    <row r="1455" spans="2:15" x14ac:dyDescent="0.25">
      <c r="B1455"/>
      <c r="C1455"/>
      <c r="D1455"/>
      <c r="E1455"/>
      <c r="F1455"/>
      <c r="G1455"/>
      <c r="H1455"/>
      <c r="I1455"/>
      <c r="J1455"/>
      <c r="K1455"/>
      <c r="L1455"/>
      <c r="M1455"/>
      <c r="N1455"/>
      <c r="O1455"/>
    </row>
    <row r="1456" spans="2:15" x14ac:dyDescent="0.25">
      <c r="B1456"/>
      <c r="C1456"/>
      <c r="D1456"/>
      <c r="E1456"/>
      <c r="F1456"/>
      <c r="G1456"/>
      <c r="H1456"/>
      <c r="I1456"/>
      <c r="J1456"/>
      <c r="K1456"/>
      <c r="L1456"/>
      <c r="M1456"/>
      <c r="N1456"/>
      <c r="O1456"/>
    </row>
    <row r="1457" spans="2:15" x14ac:dyDescent="0.25">
      <c r="B1457"/>
      <c r="C1457"/>
      <c r="D1457"/>
      <c r="E1457"/>
      <c r="F1457"/>
      <c r="G1457"/>
      <c r="H1457"/>
      <c r="I1457"/>
      <c r="J1457"/>
      <c r="K1457"/>
      <c r="L1457"/>
      <c r="M1457"/>
      <c r="N1457"/>
      <c r="O1457"/>
    </row>
    <row r="1458" spans="2:15" x14ac:dyDescent="0.25">
      <c r="B1458"/>
      <c r="C1458"/>
      <c r="D1458"/>
      <c r="E1458"/>
      <c r="F1458"/>
      <c r="G1458"/>
      <c r="H1458"/>
      <c r="I1458"/>
      <c r="J1458"/>
      <c r="K1458"/>
      <c r="L1458"/>
      <c r="M1458"/>
      <c r="N1458"/>
      <c r="O1458"/>
    </row>
    <row r="1459" spans="2:15" x14ac:dyDescent="0.25">
      <c r="B1459"/>
      <c r="C1459"/>
      <c r="D1459"/>
      <c r="E1459"/>
      <c r="F1459"/>
      <c r="G1459"/>
      <c r="H1459"/>
      <c r="I1459"/>
      <c r="J1459"/>
      <c r="K1459"/>
      <c r="L1459"/>
      <c r="M1459"/>
      <c r="N1459"/>
      <c r="O1459"/>
    </row>
    <row r="1460" spans="2:15" x14ac:dyDescent="0.25">
      <c r="B1460"/>
      <c r="C1460"/>
      <c r="D1460"/>
      <c r="E1460"/>
      <c r="F1460"/>
      <c r="G1460"/>
      <c r="H1460"/>
      <c r="I1460"/>
      <c r="J1460"/>
      <c r="K1460"/>
      <c r="L1460"/>
      <c r="M1460"/>
      <c r="N1460"/>
      <c r="O1460"/>
    </row>
    <row r="1461" spans="2:15" x14ac:dyDescent="0.25">
      <c r="B1461"/>
      <c r="C1461"/>
      <c r="D1461"/>
      <c r="E1461"/>
      <c r="F1461"/>
      <c r="G1461"/>
      <c r="H1461"/>
      <c r="I1461"/>
      <c r="J1461"/>
      <c r="K1461"/>
      <c r="L1461"/>
      <c r="M1461"/>
      <c r="N1461"/>
      <c r="O1461"/>
    </row>
    <row r="1462" spans="2:15" x14ac:dyDescent="0.25">
      <c r="B1462"/>
      <c r="C1462"/>
      <c r="D1462"/>
      <c r="E1462"/>
      <c r="F1462"/>
      <c r="G1462"/>
      <c r="H1462"/>
      <c r="I1462"/>
      <c r="J1462"/>
      <c r="K1462"/>
      <c r="L1462"/>
      <c r="M1462"/>
      <c r="N1462"/>
      <c r="O1462"/>
    </row>
    <row r="1463" spans="2:15" x14ac:dyDescent="0.25">
      <c r="B1463"/>
      <c r="C1463"/>
      <c r="D1463"/>
      <c r="E1463"/>
      <c r="F1463"/>
      <c r="G1463"/>
      <c r="H1463"/>
      <c r="I1463"/>
      <c r="J1463"/>
      <c r="K1463"/>
      <c r="L1463"/>
      <c r="M1463"/>
      <c r="N1463"/>
      <c r="O1463"/>
    </row>
    <row r="1464" spans="2:15" x14ac:dyDescent="0.25">
      <c r="B1464"/>
      <c r="C1464"/>
      <c r="D1464"/>
      <c r="E1464"/>
      <c r="F1464"/>
      <c r="G1464"/>
      <c r="H1464"/>
      <c r="I1464"/>
      <c r="J1464"/>
      <c r="K1464"/>
      <c r="L1464"/>
      <c r="M1464"/>
      <c r="N1464"/>
      <c r="O1464"/>
    </row>
    <row r="1465" spans="2:15" x14ac:dyDescent="0.25">
      <c r="B1465"/>
      <c r="C1465"/>
      <c r="D1465"/>
      <c r="E1465"/>
      <c r="F1465"/>
      <c r="G1465"/>
      <c r="H1465"/>
      <c r="I1465"/>
      <c r="J1465"/>
      <c r="K1465"/>
      <c r="L1465"/>
      <c r="M1465"/>
      <c r="N1465"/>
      <c r="O1465"/>
    </row>
    <row r="1466" spans="2:15" x14ac:dyDescent="0.25">
      <c r="B1466"/>
      <c r="C1466"/>
      <c r="D1466"/>
      <c r="E1466"/>
      <c r="F1466"/>
      <c r="G1466"/>
      <c r="H1466"/>
      <c r="I1466"/>
      <c r="J1466"/>
      <c r="K1466"/>
      <c r="L1466"/>
      <c r="M1466"/>
      <c r="N1466"/>
      <c r="O1466"/>
    </row>
    <row r="1467" spans="2:15" x14ac:dyDescent="0.25">
      <c r="B1467"/>
      <c r="C1467"/>
      <c r="D1467"/>
      <c r="E1467"/>
      <c r="F1467"/>
      <c r="G1467"/>
      <c r="H1467"/>
      <c r="I1467"/>
      <c r="J1467"/>
      <c r="K1467"/>
      <c r="L1467"/>
      <c r="M1467"/>
      <c r="N1467"/>
      <c r="O1467"/>
    </row>
    <row r="1468" spans="2:15" x14ac:dyDescent="0.25">
      <c r="B1468"/>
      <c r="C1468"/>
      <c r="D1468"/>
      <c r="E1468"/>
      <c r="F1468"/>
      <c r="G1468"/>
      <c r="H1468"/>
      <c r="I1468"/>
      <c r="J1468"/>
      <c r="K1468"/>
      <c r="L1468"/>
      <c r="M1468"/>
      <c r="N1468"/>
      <c r="O1468"/>
    </row>
    <row r="1469" spans="2:15" x14ac:dyDescent="0.25">
      <c r="B1469"/>
      <c r="C1469"/>
      <c r="D1469"/>
      <c r="E1469"/>
      <c r="F1469"/>
      <c r="G1469"/>
      <c r="H1469"/>
      <c r="I1469"/>
      <c r="J1469"/>
      <c r="K1469"/>
      <c r="L1469"/>
      <c r="M1469"/>
      <c r="N1469"/>
      <c r="O1469"/>
    </row>
    <row r="1470" spans="2:15" x14ac:dyDescent="0.25">
      <c r="B1470"/>
      <c r="C1470"/>
      <c r="D1470"/>
      <c r="E1470"/>
      <c r="F1470"/>
      <c r="G1470"/>
      <c r="H1470"/>
      <c r="I1470"/>
      <c r="J1470"/>
      <c r="K1470"/>
      <c r="L1470"/>
      <c r="M1470"/>
      <c r="N1470"/>
      <c r="O1470"/>
    </row>
    <row r="1471" spans="2:15" x14ac:dyDescent="0.25">
      <c r="B1471"/>
      <c r="C1471"/>
      <c r="D1471"/>
      <c r="E1471"/>
      <c r="F1471"/>
      <c r="G1471"/>
      <c r="H1471"/>
      <c r="I1471"/>
      <c r="J1471"/>
      <c r="K1471"/>
      <c r="L1471"/>
      <c r="M1471"/>
      <c r="N1471"/>
      <c r="O1471"/>
    </row>
    <row r="1472" spans="2:15" x14ac:dyDescent="0.25">
      <c r="B1472"/>
      <c r="C1472"/>
      <c r="D1472"/>
      <c r="E1472"/>
      <c r="F1472"/>
      <c r="G1472"/>
      <c r="H1472"/>
      <c r="I1472"/>
      <c r="J1472"/>
      <c r="K1472"/>
      <c r="L1472"/>
      <c r="M1472"/>
      <c r="N1472"/>
      <c r="O1472"/>
    </row>
    <row r="1473" spans="2:15" x14ac:dyDescent="0.25">
      <c r="B1473"/>
      <c r="C1473"/>
      <c r="D1473"/>
      <c r="E1473"/>
      <c r="F1473"/>
      <c r="G1473"/>
      <c r="H1473"/>
      <c r="I1473"/>
      <c r="J1473"/>
      <c r="K1473"/>
      <c r="L1473"/>
      <c r="M1473"/>
      <c r="N1473"/>
      <c r="O1473"/>
    </row>
    <row r="1474" spans="2:15" x14ac:dyDescent="0.25">
      <c r="B1474"/>
      <c r="C1474"/>
      <c r="D1474"/>
      <c r="E1474"/>
      <c r="F1474"/>
      <c r="G1474"/>
      <c r="H1474"/>
      <c r="I1474"/>
      <c r="J1474"/>
      <c r="K1474"/>
      <c r="L1474"/>
      <c r="M1474"/>
      <c r="N1474"/>
      <c r="O1474"/>
    </row>
    <row r="1475" spans="2:15" x14ac:dyDescent="0.25">
      <c r="B1475"/>
      <c r="C1475"/>
      <c r="D1475"/>
      <c r="E1475"/>
      <c r="F1475"/>
      <c r="G1475"/>
      <c r="H1475"/>
      <c r="I1475"/>
      <c r="J1475"/>
      <c r="K1475"/>
      <c r="L1475"/>
      <c r="M1475"/>
      <c r="N1475"/>
      <c r="O1475"/>
    </row>
    <row r="1476" spans="2:15" x14ac:dyDescent="0.25">
      <c r="B1476"/>
      <c r="C1476"/>
      <c r="D1476"/>
      <c r="E1476"/>
      <c r="F1476"/>
      <c r="G1476"/>
      <c r="H1476"/>
      <c r="I1476"/>
      <c r="J1476"/>
      <c r="K1476"/>
      <c r="L1476"/>
      <c r="M1476"/>
      <c r="N1476"/>
      <c r="O1476"/>
    </row>
    <row r="1477" spans="2:15" x14ac:dyDescent="0.25">
      <c r="B1477"/>
      <c r="C1477"/>
      <c r="D1477"/>
      <c r="E1477"/>
      <c r="F1477"/>
      <c r="G1477"/>
      <c r="H1477"/>
      <c r="I1477"/>
      <c r="J1477"/>
      <c r="K1477"/>
      <c r="L1477"/>
      <c r="M1477"/>
      <c r="N1477"/>
      <c r="O1477"/>
    </row>
    <row r="1478" spans="2:15" x14ac:dyDescent="0.25">
      <c r="B1478"/>
      <c r="C1478"/>
      <c r="D1478"/>
      <c r="E1478"/>
      <c r="F1478"/>
      <c r="G1478"/>
      <c r="H1478"/>
      <c r="I1478"/>
      <c r="J1478"/>
      <c r="K1478"/>
      <c r="L1478"/>
      <c r="M1478"/>
      <c r="N1478"/>
      <c r="O1478"/>
    </row>
    <row r="1479" spans="2:15" x14ac:dyDescent="0.25">
      <c r="B1479"/>
      <c r="C1479"/>
      <c r="D1479"/>
      <c r="E1479"/>
      <c r="F1479"/>
      <c r="G1479"/>
      <c r="H1479"/>
      <c r="I1479"/>
      <c r="J1479"/>
      <c r="K1479"/>
      <c r="L1479"/>
      <c r="M1479"/>
      <c r="N1479"/>
      <c r="O1479"/>
    </row>
    <row r="1480" spans="2:15" x14ac:dyDescent="0.25">
      <c r="B1480"/>
      <c r="C1480"/>
      <c r="D1480"/>
      <c r="E1480"/>
      <c r="F1480"/>
      <c r="G1480"/>
      <c r="H1480"/>
      <c r="I1480"/>
      <c r="J1480"/>
      <c r="K1480"/>
      <c r="L1480"/>
      <c r="M1480"/>
      <c r="N1480"/>
      <c r="O1480"/>
    </row>
    <row r="1481" spans="2:15" x14ac:dyDescent="0.25">
      <c r="B1481"/>
      <c r="C1481"/>
      <c r="D1481"/>
      <c r="E1481"/>
      <c r="F1481"/>
      <c r="G1481"/>
      <c r="H1481"/>
      <c r="I1481"/>
      <c r="J1481"/>
      <c r="K1481"/>
      <c r="L1481"/>
      <c r="M1481"/>
      <c r="N1481"/>
      <c r="O1481"/>
    </row>
    <row r="1482" spans="2:15" x14ac:dyDescent="0.25">
      <c r="B1482"/>
      <c r="C1482"/>
      <c r="D1482"/>
      <c r="E1482"/>
      <c r="F1482"/>
      <c r="G1482"/>
      <c r="H1482"/>
      <c r="I1482"/>
      <c r="J1482"/>
      <c r="K1482"/>
      <c r="L1482"/>
      <c r="M1482"/>
      <c r="N1482"/>
      <c r="O1482"/>
    </row>
    <row r="1483" spans="2:15" x14ac:dyDescent="0.25">
      <c r="B1483"/>
      <c r="C1483"/>
      <c r="D1483"/>
      <c r="E1483"/>
      <c r="F1483"/>
      <c r="G1483"/>
      <c r="H1483"/>
      <c r="I1483"/>
      <c r="J1483"/>
      <c r="K1483"/>
      <c r="L1483"/>
      <c r="M1483"/>
      <c r="N1483"/>
      <c r="O1483"/>
    </row>
    <row r="1484" spans="2:15" x14ac:dyDescent="0.25">
      <c r="B1484"/>
      <c r="C1484"/>
      <c r="D1484"/>
      <c r="E1484"/>
      <c r="F1484"/>
      <c r="G1484"/>
      <c r="H1484"/>
      <c r="I1484"/>
      <c r="J1484"/>
      <c r="K1484"/>
      <c r="L1484"/>
      <c r="M1484"/>
      <c r="N1484"/>
      <c r="O1484"/>
    </row>
    <row r="1485" spans="2:15" x14ac:dyDescent="0.25">
      <c r="B1485"/>
      <c r="C1485"/>
      <c r="D1485"/>
      <c r="E1485"/>
      <c r="F1485"/>
      <c r="G1485"/>
      <c r="H1485"/>
      <c r="I1485"/>
      <c r="J1485"/>
      <c r="K1485"/>
      <c r="L1485"/>
      <c r="M1485"/>
      <c r="N1485"/>
      <c r="O1485"/>
    </row>
    <row r="1486" spans="2:15" x14ac:dyDescent="0.25">
      <c r="B1486"/>
      <c r="C1486"/>
      <c r="D1486"/>
      <c r="E1486"/>
      <c r="F1486"/>
      <c r="G1486"/>
      <c r="H1486"/>
      <c r="I1486"/>
      <c r="J1486"/>
      <c r="K1486"/>
      <c r="L1486"/>
      <c r="M1486"/>
      <c r="N1486"/>
      <c r="O1486"/>
    </row>
    <row r="1487" spans="2:15" x14ac:dyDescent="0.25">
      <c r="B1487"/>
      <c r="C1487"/>
      <c r="D1487"/>
      <c r="E1487"/>
      <c r="F1487"/>
      <c r="G1487"/>
      <c r="H1487"/>
      <c r="I1487"/>
      <c r="J1487"/>
      <c r="K1487"/>
      <c r="L1487"/>
      <c r="M1487"/>
      <c r="N1487"/>
      <c r="O1487"/>
    </row>
    <row r="1488" spans="2:15" x14ac:dyDescent="0.25">
      <c r="B1488"/>
      <c r="C1488"/>
      <c r="D1488"/>
      <c r="E1488"/>
      <c r="F1488"/>
      <c r="G1488"/>
      <c r="H1488"/>
      <c r="I1488"/>
      <c r="J1488"/>
      <c r="K1488"/>
      <c r="L1488"/>
      <c r="M1488"/>
      <c r="N1488"/>
      <c r="O1488"/>
    </row>
    <row r="1489" spans="1:15" x14ac:dyDescent="0.25">
      <c r="B1489"/>
      <c r="C1489"/>
      <c r="D1489"/>
      <c r="E1489"/>
      <c r="F1489"/>
      <c r="G1489"/>
      <c r="H1489"/>
      <c r="I1489"/>
      <c r="J1489"/>
      <c r="K1489"/>
      <c r="L1489"/>
      <c r="M1489"/>
      <c r="N1489"/>
      <c r="O1489"/>
    </row>
    <row r="1490" spans="1:15" x14ac:dyDescent="0.25">
      <c r="B1490"/>
      <c r="C1490"/>
      <c r="D1490"/>
      <c r="E1490"/>
      <c r="F1490"/>
      <c r="G1490"/>
      <c r="H1490"/>
      <c r="I1490"/>
      <c r="J1490"/>
      <c r="K1490"/>
      <c r="L1490"/>
      <c r="M1490"/>
      <c r="N1490"/>
      <c r="O1490"/>
    </row>
    <row r="1491" spans="1:15" x14ac:dyDescent="0.25">
      <c r="B1491"/>
      <c r="C1491"/>
      <c r="D1491"/>
      <c r="E1491"/>
      <c r="F1491"/>
      <c r="G1491"/>
      <c r="H1491"/>
      <c r="I1491"/>
      <c r="J1491"/>
      <c r="K1491"/>
      <c r="L1491"/>
      <c r="M1491"/>
      <c r="N1491"/>
      <c r="O1491"/>
    </row>
    <row r="1492" spans="1:15" x14ac:dyDescent="0.25">
      <c r="B1492"/>
      <c r="C1492"/>
      <c r="D1492"/>
      <c r="E1492"/>
      <c r="F1492"/>
      <c r="G1492"/>
      <c r="H1492"/>
      <c r="I1492"/>
      <c r="J1492"/>
      <c r="K1492"/>
      <c r="L1492"/>
      <c r="M1492"/>
      <c r="N1492"/>
      <c r="O1492"/>
    </row>
    <row r="1493" spans="1:15" x14ac:dyDescent="0.25">
      <c r="B1493"/>
      <c r="C1493"/>
      <c r="D1493"/>
      <c r="E1493"/>
      <c r="F1493"/>
      <c r="G1493"/>
      <c r="H1493"/>
      <c r="I1493"/>
      <c r="J1493"/>
      <c r="K1493"/>
      <c r="L1493"/>
      <c r="M1493"/>
      <c r="N1493"/>
      <c r="O1493"/>
    </row>
    <row r="1494" spans="1:15" x14ac:dyDescent="0.25">
      <c r="B1494"/>
      <c r="C1494"/>
      <c r="D1494"/>
      <c r="E1494"/>
      <c r="F1494"/>
      <c r="G1494"/>
      <c r="H1494"/>
      <c r="I1494"/>
      <c r="J1494"/>
      <c r="K1494"/>
      <c r="L1494"/>
      <c r="M1494"/>
      <c r="N1494"/>
      <c r="O1494"/>
    </row>
    <row r="1495" spans="1:15" x14ac:dyDescent="0.25">
      <c r="B1495"/>
      <c r="C1495"/>
      <c r="D1495"/>
      <c r="E1495"/>
      <c r="F1495"/>
      <c r="G1495"/>
      <c r="H1495"/>
      <c r="I1495"/>
      <c r="J1495"/>
      <c r="K1495"/>
      <c r="L1495"/>
      <c r="M1495"/>
      <c r="N1495"/>
      <c r="O1495"/>
    </row>
    <row r="1496" spans="1:15" x14ac:dyDescent="0.25">
      <c r="B1496"/>
      <c r="C1496"/>
      <c r="D1496"/>
      <c r="E1496"/>
      <c r="F1496"/>
      <c r="G1496"/>
      <c r="H1496"/>
      <c r="I1496"/>
      <c r="J1496"/>
      <c r="K1496"/>
      <c r="L1496"/>
      <c r="M1496"/>
      <c r="N1496"/>
      <c r="O1496"/>
    </row>
    <row r="1497" spans="1:15" x14ac:dyDescent="0.25">
      <c r="B1497"/>
      <c r="C1497"/>
      <c r="D1497"/>
      <c r="E1497"/>
      <c r="F1497"/>
      <c r="G1497"/>
      <c r="H1497"/>
      <c r="I1497"/>
      <c r="J1497"/>
      <c r="K1497"/>
      <c r="L1497"/>
      <c r="M1497"/>
      <c r="N1497"/>
      <c r="O1497"/>
    </row>
    <row r="1498" spans="1:15" x14ac:dyDescent="0.25">
      <c r="B1498"/>
      <c r="C1498"/>
      <c r="D1498"/>
      <c r="E1498"/>
      <c r="F1498"/>
      <c r="G1498"/>
      <c r="H1498"/>
      <c r="I1498"/>
      <c r="J1498"/>
      <c r="K1498"/>
      <c r="L1498"/>
      <c r="M1498"/>
      <c r="N1498"/>
      <c r="O1498"/>
    </row>
    <row r="1499" spans="1:15" x14ac:dyDescent="0.25">
      <c r="B1499"/>
      <c r="C1499"/>
      <c r="D1499"/>
      <c r="E1499"/>
      <c r="F1499"/>
      <c r="G1499"/>
      <c r="H1499"/>
      <c r="I1499"/>
      <c r="J1499"/>
      <c r="K1499"/>
      <c r="L1499"/>
      <c r="M1499"/>
      <c r="N1499"/>
      <c r="O1499"/>
    </row>
    <row r="1500" spans="1:15" x14ac:dyDescent="0.25">
      <c r="B1500"/>
      <c r="C1500"/>
      <c r="D1500"/>
      <c r="E1500"/>
      <c r="F1500"/>
      <c r="G1500"/>
      <c r="H1500"/>
      <c r="I1500"/>
      <c r="J1500"/>
      <c r="K1500"/>
      <c r="L1500"/>
      <c r="M1500"/>
      <c r="N1500"/>
      <c r="O1500"/>
    </row>
    <row r="1501" spans="1:15" x14ac:dyDescent="0.25">
      <c r="A1501">
        <v>2187.66</v>
      </c>
      <c r="B1501" s="1">
        <v>0.1</v>
      </c>
      <c r="C1501" s="1">
        <v>2.7272665570937189</v>
      </c>
      <c r="D1501" s="1">
        <v>511.5</v>
      </c>
      <c r="E1501" s="1">
        <v>295.55320579717215</v>
      </c>
      <c r="F1501" s="1">
        <v>132.48721629229178</v>
      </c>
      <c r="G1501" s="1">
        <v>1878.1080132001093</v>
      </c>
      <c r="H1501" s="1">
        <v>2.8159999999999998E-2</v>
      </c>
      <c r="I1501" s="1">
        <v>115.20627503677549</v>
      </c>
      <c r="J1501" s="1">
        <v>14.777660289858609</v>
      </c>
      <c r="K1501" s="1">
        <v>9.4884323859318179E-2</v>
      </c>
      <c r="L1501" s="1">
        <v>89.117953037483389</v>
      </c>
      <c r="M1501" s="1">
        <v>272.72665570935715</v>
      </c>
      <c r="N1501" s="1">
        <v>-13.011141805571471</v>
      </c>
      <c r="O1501" s="1">
        <v>2.2352850350455166E-6</v>
      </c>
    </row>
    <row r="1502" spans="1:15" x14ac:dyDescent="0.25">
      <c r="A1502">
        <v>2190.39</v>
      </c>
      <c r="B1502" s="1">
        <v>0.1</v>
      </c>
      <c r="C1502" s="1">
        <v>2.731911068548913</v>
      </c>
      <c r="D1502" s="1">
        <v>511.6</v>
      </c>
      <c r="E1502" s="1">
        <v>296.23616542815421</v>
      </c>
      <c r="F1502" s="1">
        <v>132.78972978539747</v>
      </c>
      <c r="G1502" s="1">
        <v>1881.0703748295898</v>
      </c>
      <c r="H1502" s="1">
        <v>2.8159999999999998E-2</v>
      </c>
      <c r="I1502" s="1">
        <v>115.46933024817174</v>
      </c>
      <c r="J1502" s="1">
        <v>14.811808271407712</v>
      </c>
      <c r="K1502" s="1">
        <v>9.486751955845181E-2</v>
      </c>
      <c r="L1502" s="1">
        <v>89.13452925580232</v>
      </c>
      <c r="M1502" s="1">
        <v>273.1911068548925</v>
      </c>
      <c r="N1502" s="1">
        <v>-13.014251805571471</v>
      </c>
      <c r="O1502" s="1">
        <v>2.2283440973391127E-6</v>
      </c>
    </row>
    <row r="1503" spans="1:15" x14ac:dyDescent="0.25">
      <c r="A1503">
        <v>2193.13</v>
      </c>
      <c r="B1503" s="1">
        <v>0.1</v>
      </c>
      <c r="C1503" s="1">
        <v>2.7365675790028257</v>
      </c>
      <c r="D1503" s="1">
        <v>511.70000000000005</v>
      </c>
      <c r="E1503" s="1">
        <v>296.92145379287547</v>
      </c>
      <c r="F1503" s="1">
        <v>133.09326081026114</v>
      </c>
      <c r="G1503" s="1">
        <v>1884.0395893425505</v>
      </c>
      <c r="H1503" s="1">
        <v>2.8159999999999998E-2</v>
      </c>
      <c r="I1503" s="1">
        <v>115.73327026979233</v>
      </c>
      <c r="J1503" s="1">
        <v>14.846072689643774</v>
      </c>
      <c r="K1503" s="1">
        <v>9.4850729105887988E-2</v>
      </c>
      <c r="L1503" s="1">
        <v>89.151097679997818</v>
      </c>
      <c r="M1503" s="1">
        <v>273.65675790028945</v>
      </c>
      <c r="N1503" s="1">
        <v>-13.01736180557147</v>
      </c>
      <c r="O1503" s="1">
        <v>2.2214247124170238E-6</v>
      </c>
    </row>
    <row r="1504" spans="1:15" x14ac:dyDescent="0.25">
      <c r="A1504">
        <v>2195.87</v>
      </c>
      <c r="B1504" s="1">
        <v>0.1</v>
      </c>
      <c r="C1504" s="1">
        <v>2.7412361343266531</v>
      </c>
      <c r="D1504" s="1">
        <v>511.8</v>
      </c>
      <c r="E1504" s="1">
        <v>297.60908178975143</v>
      </c>
      <c r="F1504" s="1">
        <v>133.39781406279809</v>
      </c>
      <c r="G1504" s="1">
        <v>1887.0156801353107</v>
      </c>
      <c r="H1504" s="1">
        <v>2.8159999999999998E-2</v>
      </c>
      <c r="I1504" s="1">
        <v>115.99809918504185</v>
      </c>
      <c r="J1504" s="1">
        <v>14.880454089487571</v>
      </c>
      <c r="K1504" s="1">
        <v>9.4833952486981857E-2</v>
      </c>
      <c r="L1504" s="1">
        <v>89.16765831313063</v>
      </c>
      <c r="M1504" s="1">
        <v>274.12361343267548</v>
      </c>
      <c r="N1504" s="1">
        <v>-13.02047180557147</v>
      </c>
      <c r="O1504" s="1">
        <v>2.2145268133542142E-6</v>
      </c>
    </row>
    <row r="1505" spans="1:15" x14ac:dyDescent="0.25">
      <c r="A1505">
        <v>2198.62</v>
      </c>
      <c r="B1505" s="1">
        <v>0.1</v>
      </c>
      <c r="C1505" s="1">
        <v>2.7459167806297375</v>
      </c>
      <c r="D1505" s="1">
        <v>511.90000000000003</v>
      </c>
      <c r="E1505" s="1">
        <v>298.29906038201239</v>
      </c>
      <c r="F1505" s="1">
        <v>133.70339426669975</v>
      </c>
      <c r="G1505" s="1">
        <v>1889.998670713823</v>
      </c>
      <c r="H1505" s="1">
        <v>2.8159999999999998E-2</v>
      </c>
      <c r="I1505" s="1">
        <v>116.26382110147809</v>
      </c>
      <c r="J1505" s="1">
        <v>14.91495301910062</v>
      </c>
      <c r="K1505" s="1">
        <v>9.4817189687094752E-2</v>
      </c>
      <c r="L1505" s="1">
        <v>89.184211158274522</v>
      </c>
      <c r="M1505" s="1">
        <v>274.59167806296136</v>
      </c>
      <c r="N1505" s="1">
        <v>-13.023581805571471</v>
      </c>
      <c r="O1505" s="1">
        <v>2.2076503334334558E-6</v>
      </c>
    </row>
    <row r="1506" spans="1:15" x14ac:dyDescent="0.25">
      <c r="A1506">
        <v>2201.37</v>
      </c>
      <c r="B1506" s="1">
        <v>0.1</v>
      </c>
      <c r="C1506" s="1">
        <v>2.7506095642620911</v>
      </c>
      <c r="D1506" s="1">
        <v>512</v>
      </c>
      <c r="E1506" s="1">
        <v>298.99140059930221</v>
      </c>
      <c r="F1506" s="1">
        <v>134.01000617365062</v>
      </c>
      <c r="G1506" s="1">
        <v>1892.9885846943357</v>
      </c>
      <c r="H1506" s="1">
        <v>2.8159999999999998E-2</v>
      </c>
      <c r="I1506" s="1">
        <v>116.53044015100058</v>
      </c>
      <c r="J1506" s="1">
        <v>14.949570029965111</v>
      </c>
      <c r="K1506" s="1">
        <v>9.4800440691589577E-2</v>
      </c>
      <c r="L1506" s="1">
        <v>89.200756218520993</v>
      </c>
      <c r="M1506" s="1">
        <v>275.06095642620494</v>
      </c>
      <c r="N1506" s="1">
        <v>-13.02669180557147</v>
      </c>
      <c r="O1506" s="1">
        <v>2.2007952061447011E-6</v>
      </c>
    </row>
    <row r="1507" spans="1:15" x14ac:dyDescent="0.25">
      <c r="A1507">
        <v>2204.12</v>
      </c>
      <c r="B1507" s="1">
        <v>0.1</v>
      </c>
      <c r="C1507" s="1">
        <v>2.7553145318154915</v>
      </c>
      <c r="D1507" s="1">
        <v>512.1</v>
      </c>
      <c r="E1507" s="1">
        <v>299.68611353741181</v>
      </c>
      <c r="F1507" s="1">
        <v>134.31765456353048</v>
      </c>
      <c r="G1507" s="1">
        <v>1895.9854458040559</v>
      </c>
      <c r="H1507" s="1">
        <v>2.8159999999999998E-2</v>
      </c>
      <c r="I1507" s="1">
        <v>116.79796049002657</v>
      </c>
      <c r="J1507" s="1">
        <v>14.984305676870591</v>
      </c>
      <c r="K1507" s="1">
        <v>9.4783705485833661E-2</v>
      </c>
      <c r="L1507" s="1">
        <v>89.217293496976296</v>
      </c>
      <c r="M1507" s="1">
        <v>275.53145318156567</v>
      </c>
      <c r="N1507" s="1">
        <v>-13.02980180557147</v>
      </c>
      <c r="O1507" s="1">
        <v>2.1939613651844177E-6</v>
      </c>
    </row>
    <row r="1508" spans="1:15" x14ac:dyDescent="0.25">
      <c r="A1508">
        <v>2206.88</v>
      </c>
      <c r="B1508" s="1">
        <v>0.1</v>
      </c>
      <c r="C1508" s="1">
        <v>2.7600317301249753</v>
      </c>
      <c r="D1508" s="1">
        <v>512.20000000000005</v>
      </c>
      <c r="E1508" s="1">
        <v>300.38321035914527</v>
      </c>
      <c r="F1508" s="1">
        <v>134.62634424461504</v>
      </c>
      <c r="G1508" s="1">
        <v>1898.9892778818187</v>
      </c>
      <c r="H1508" s="1">
        <v>2.8159999999999998E-2</v>
      </c>
      <c r="I1508" s="1">
        <v>117.0663862996653</v>
      </c>
      <c r="J1508" s="1">
        <v>15.019160517957264</v>
      </c>
      <c r="K1508" s="1">
        <v>9.4766984055197456E-2</v>
      </c>
      <c r="L1508" s="1">
        <v>89.23382299676291</v>
      </c>
      <c r="M1508" s="1">
        <v>276.00317301248651</v>
      </c>
      <c r="N1508" s="1">
        <v>-13.032911805571471</v>
      </c>
      <c r="O1508" s="1">
        <v>2.1871487444549537E-6</v>
      </c>
    </row>
    <row r="1509" spans="1:15" x14ac:dyDescent="0.25">
      <c r="A1509">
        <v>2209.65</v>
      </c>
      <c r="B1509" s="1">
        <v>0.1</v>
      </c>
      <c r="C1509" s="1">
        <v>2.764761206270332</v>
      </c>
      <c r="D1509" s="1">
        <v>512.30000000000007</v>
      </c>
      <c r="E1509" s="1">
        <v>301.08270229418645</v>
      </c>
      <c r="F1509" s="1">
        <v>134.93608005377524</v>
      </c>
      <c r="G1509" s="1">
        <v>1902.0001048787562</v>
      </c>
      <c r="H1509" s="1">
        <v>2.8159999999999998E-2</v>
      </c>
      <c r="I1509" s="1">
        <v>117.33572178589152</v>
      </c>
      <c r="J1509" s="1">
        <v>15.054135114709323</v>
      </c>
      <c r="K1509" s="1">
        <v>9.4750276385056773E-2</v>
      </c>
      <c r="L1509" s="1">
        <v>89.2503447210171</v>
      </c>
      <c r="M1509" s="1">
        <v>276.47612062701228</v>
      </c>
      <c r="N1509" s="1">
        <v>-13.036021805571471</v>
      </c>
      <c r="O1509" s="1">
        <v>2.1803572780639156E-6</v>
      </c>
    </row>
    <row r="1510" spans="1:15" x14ac:dyDescent="0.25">
      <c r="A1510">
        <v>2212.42</v>
      </c>
      <c r="B1510" s="1">
        <v>0.1</v>
      </c>
      <c r="C1510" s="1">
        <v>2.7695030075785838</v>
      </c>
      <c r="D1510" s="1">
        <v>512.4</v>
      </c>
      <c r="E1510" s="1">
        <v>301.78460064089751</v>
      </c>
      <c r="F1510" s="1">
        <v>135.2468668567046</v>
      </c>
      <c r="G1510" s="1">
        <v>1905.0179508589824</v>
      </c>
      <c r="H1510" s="1">
        <v>2.8159999999999998E-2</v>
      </c>
      <c r="I1510" s="1">
        <v>117.60597117974316</v>
      </c>
      <c r="J1510" s="1">
        <v>15.089230032044876</v>
      </c>
      <c r="K1510" s="1">
        <v>9.4733582460787585E-2</v>
      </c>
      <c r="L1510" s="1">
        <v>89.266858672894244</v>
      </c>
      <c r="M1510" s="1">
        <v>276.95030075788054</v>
      </c>
      <c r="N1510" s="1">
        <v>-13.03913180557147</v>
      </c>
      <c r="O1510" s="1">
        <v>2.1735869003235041E-6</v>
      </c>
    </row>
    <row r="1511" spans="1:15" x14ac:dyDescent="0.25">
      <c r="A1511">
        <v>2215.19</v>
      </c>
      <c r="B1511" s="1">
        <v>0.1</v>
      </c>
      <c r="C1511" s="1">
        <v>2.7742571816243018</v>
      </c>
      <c r="D1511" s="1">
        <v>512.5</v>
      </c>
      <c r="E1511" s="1">
        <v>302.48891676498693</v>
      </c>
      <c r="F1511" s="1">
        <v>135.55870954810666</v>
      </c>
      <c r="G1511" s="1">
        <v>1908.04284000027</v>
      </c>
      <c r="H1511" s="1">
        <v>2.8159999999999998E-2</v>
      </c>
      <c r="I1511" s="1">
        <v>117.87713873748409</v>
      </c>
      <c r="J1511" s="1">
        <v>15.124445838249347</v>
      </c>
      <c r="K1511" s="1">
        <v>9.4716902267773406E-2</v>
      </c>
      <c r="L1511" s="1">
        <v>89.283364855561416</v>
      </c>
      <c r="M1511" s="1">
        <v>277.42571816243071</v>
      </c>
      <c r="N1511" s="1">
        <v>-13.04224180557147</v>
      </c>
      <c r="O1511" s="1">
        <v>2.1668375457498964E-6</v>
      </c>
    </row>
    <row r="1512" spans="1:15" x14ac:dyDescent="0.25">
      <c r="A1512">
        <v>2217.9699999999998</v>
      </c>
      <c r="B1512" s="1">
        <v>0.1</v>
      </c>
      <c r="C1512" s="1">
        <v>2.7790237762325711</v>
      </c>
      <c r="D1512" s="1">
        <v>512.6</v>
      </c>
      <c r="E1512" s="1">
        <v>303.19566210177396</v>
      </c>
      <c r="F1512" s="1">
        <v>135.87161305192603</v>
      </c>
      <c r="G1512" s="1">
        <v>1911.0747965947451</v>
      </c>
      <c r="H1512" s="1">
        <v>2.8159999999999998E-2</v>
      </c>
      <c r="I1512" s="1">
        <v>118.14922874080527</v>
      </c>
      <c r="J1512" s="1">
        <v>15.1597831050887</v>
      </c>
      <c r="K1512" s="1">
        <v>9.4700235791398135E-2</v>
      </c>
      <c r="L1512" s="1">
        <v>89.299863272204547</v>
      </c>
      <c r="M1512" s="1">
        <v>277.90237762324068</v>
      </c>
      <c r="N1512" s="1">
        <v>-13.045351805571471</v>
      </c>
      <c r="O1512" s="1">
        <v>2.1601091490626033E-6</v>
      </c>
    </row>
    <row r="1513" spans="1:15" x14ac:dyDescent="0.25">
      <c r="A1513">
        <v>2220.75</v>
      </c>
      <c r="B1513" s="1">
        <v>0.1</v>
      </c>
      <c r="C1513" s="1">
        <v>2.7838028394796495</v>
      </c>
      <c r="D1513" s="1">
        <v>512.70000000000005</v>
      </c>
      <c r="E1513" s="1">
        <v>303.90484815552287</v>
      </c>
      <c r="F1513" s="1">
        <v>136.18558232154854</v>
      </c>
      <c r="G1513" s="1">
        <v>1914.1138450495757</v>
      </c>
      <c r="H1513" s="1">
        <v>2.8159999999999998E-2</v>
      </c>
      <c r="I1513" s="1">
        <v>118.42224549699878</v>
      </c>
      <c r="J1513" s="1">
        <v>15.195242407776144</v>
      </c>
      <c r="K1513" s="1">
        <v>9.4683583017050585E-2</v>
      </c>
      <c r="L1513" s="1">
        <v>89.316353926023794</v>
      </c>
      <c r="M1513" s="1">
        <v>278.38028394794492</v>
      </c>
      <c r="N1513" s="1">
        <v>-13.048461805571471</v>
      </c>
      <c r="O1513" s="1">
        <v>2.1534016451838539E-6</v>
      </c>
    </row>
    <row r="1514" spans="1:15" x14ac:dyDescent="0.25">
      <c r="A1514">
        <v>2223.54</v>
      </c>
      <c r="B1514" s="1">
        <v>0.1</v>
      </c>
      <c r="C1514" s="1">
        <v>2.7885944196955523</v>
      </c>
      <c r="D1514" s="1">
        <v>512.80000000000007</v>
      </c>
      <c r="E1514" s="1">
        <v>304.61648650084163</v>
      </c>
      <c r="F1514" s="1">
        <v>136.50062234003244</v>
      </c>
      <c r="G1514" s="1">
        <v>1917.1600098876756</v>
      </c>
      <c r="H1514" s="1">
        <v>2.8159999999999998E-2</v>
      </c>
      <c r="I1514" s="1">
        <v>118.69619333915865</v>
      </c>
      <c r="J1514" s="1">
        <v>15.230824325042082</v>
      </c>
      <c r="K1514" s="1">
        <v>9.4666943930121095E-2</v>
      </c>
      <c r="L1514" s="1">
        <v>89.33283682023702</v>
      </c>
      <c r="M1514" s="1">
        <v>278.85944196955279</v>
      </c>
      <c r="N1514" s="1">
        <v>-13.05157180557147</v>
      </c>
      <c r="O1514" s="1">
        <v>2.1467149692379452E-6</v>
      </c>
    </row>
    <row r="1515" spans="1:15" x14ac:dyDescent="0.25">
      <c r="A1515">
        <v>2226.34</v>
      </c>
      <c r="B1515" s="1">
        <v>0.1</v>
      </c>
      <c r="C1515" s="1">
        <v>2.7933985654643911</v>
      </c>
      <c r="D1515" s="1">
        <v>512.9</v>
      </c>
      <c r="E1515" s="1">
        <v>305.3305887820157</v>
      </c>
      <c r="F1515" s="1">
        <v>136.81673812029842</v>
      </c>
      <c r="G1515" s="1">
        <v>1920.2133157484006</v>
      </c>
      <c r="H1515" s="1">
        <v>2.8159999999999998E-2</v>
      </c>
      <c r="I1515" s="1">
        <v>118.97107662634649</v>
      </c>
      <c r="J1515" s="1">
        <v>15.266529439100786</v>
      </c>
      <c r="K1515" s="1">
        <v>9.465031851600629E-2</v>
      </c>
      <c r="L1515" s="1">
        <v>89.34931195807512</v>
      </c>
      <c r="M1515" s="1">
        <v>279.33985654644857</v>
      </c>
      <c r="N1515" s="1">
        <v>-13.054681805571471</v>
      </c>
      <c r="O1515" s="1">
        <v>2.1400490565506213E-6</v>
      </c>
    </row>
    <row r="1516" spans="1:15" x14ac:dyDescent="0.25">
      <c r="A1516">
        <v>2229.13</v>
      </c>
      <c r="B1516" s="1">
        <v>0.1</v>
      </c>
      <c r="C1516" s="1">
        <v>2.7982153256279458</v>
      </c>
      <c r="D1516" s="1">
        <v>513</v>
      </c>
      <c r="E1516" s="1">
        <v>306.04716671474017</v>
      </c>
      <c r="F1516" s="1">
        <v>137.13393470538102</v>
      </c>
      <c r="G1516" s="1">
        <v>1923.2737873882666</v>
      </c>
      <c r="H1516" s="1">
        <v>2.8159999999999998E-2</v>
      </c>
      <c r="I1516" s="1">
        <v>119.24689974380962</v>
      </c>
      <c r="J1516" s="1">
        <v>15.30235833573701</v>
      </c>
      <c r="K1516" s="1">
        <v>9.4633706760103797E-2</v>
      </c>
      <c r="L1516" s="1">
        <v>89.365779342787022</v>
      </c>
      <c r="M1516" s="1">
        <v>279.82153256280071</v>
      </c>
      <c r="N1516" s="1">
        <v>-13.057791805571471</v>
      </c>
      <c r="O1516" s="1">
        <v>2.1334038426484646E-6</v>
      </c>
    </row>
    <row r="1517" spans="1:15" x14ac:dyDescent="0.25">
      <c r="A1517">
        <v>2231.94</v>
      </c>
      <c r="B1517" s="1">
        <v>0.1</v>
      </c>
      <c r="C1517" s="1">
        <v>2.8030447492858728</v>
      </c>
      <c r="D1517" s="1">
        <v>513.1</v>
      </c>
      <c r="E1517" s="1">
        <v>306.76623208618639</v>
      </c>
      <c r="F1517" s="1">
        <v>137.4522171686325</v>
      </c>
      <c r="G1517" s="1">
        <v>1926.3414496816586</v>
      </c>
      <c r="H1517" s="1">
        <v>2.8159999999999998E-2</v>
      </c>
      <c r="I1517" s="1">
        <v>119.52366710315872</v>
      </c>
      <c r="J1517" s="1">
        <v>15.33831160430932</v>
      </c>
      <c r="K1517" s="1">
        <v>9.4617108647814432E-2</v>
      </c>
      <c r="L1517" s="1">
        <v>89.382238977637712</v>
      </c>
      <c r="M1517" s="1">
        <v>280.30447492860731</v>
      </c>
      <c r="N1517" s="1">
        <v>-13.06090180557147</v>
      </c>
      <c r="O1517" s="1">
        <v>2.1267792632582463E-6</v>
      </c>
    </row>
    <row r="1518" spans="1:15" x14ac:dyDescent="0.25">
      <c r="A1518">
        <v>2234.75</v>
      </c>
      <c r="B1518" s="1">
        <v>0.1</v>
      </c>
      <c r="C1518" s="1">
        <v>2.8078868857980779</v>
      </c>
      <c r="D1518" s="1">
        <v>513.20000000000005</v>
      </c>
      <c r="E1518" s="1">
        <v>307.48779675533467</v>
      </c>
      <c r="F1518" s="1">
        <v>137.77159061394988</v>
      </c>
      <c r="G1518" s="1">
        <v>1929.4163276215518</v>
      </c>
      <c r="H1518" s="1">
        <v>2.8159999999999998E-2</v>
      </c>
      <c r="I1518" s="1">
        <v>119.80138314256516</v>
      </c>
      <c r="J1518" s="1">
        <v>15.374389837766735</v>
      </c>
      <c r="K1518" s="1">
        <v>9.460052416454276E-2</v>
      </c>
      <c r="L1518" s="1">
        <v>89.398690865907668</v>
      </c>
      <c r="M1518" s="1">
        <v>280.78868857978705</v>
      </c>
      <c r="N1518" s="1">
        <v>-13.06401180557147</v>
      </c>
      <c r="O1518" s="1">
        <v>2.1201752543063196E-6</v>
      </c>
    </row>
    <row r="1519" spans="1:15" x14ac:dyDescent="0.25">
      <c r="A1519">
        <v>2237.56</v>
      </c>
      <c r="B1519" s="1">
        <v>0.1</v>
      </c>
      <c r="C1519" s="1">
        <v>2.8127417847860547</v>
      </c>
      <c r="D1519" s="1">
        <v>513.30000000000007</v>
      </c>
      <c r="E1519" s="1">
        <v>308.21187265357429</v>
      </c>
      <c r="F1519" s="1">
        <v>138.09206017599109</v>
      </c>
      <c r="G1519" s="1">
        <v>1932.4984463202359</v>
      </c>
      <c r="H1519" s="1">
        <v>2.8159999999999998E-2</v>
      </c>
      <c r="I1519" s="1">
        <v>120.08005232694879</v>
      </c>
      <c r="J1519" s="1">
        <v>15.410593632678715</v>
      </c>
      <c r="K1519" s="1">
        <v>9.4583953295696924E-2</v>
      </c>
      <c r="L1519" s="1">
        <v>89.415135010892897</v>
      </c>
      <c r="M1519" s="1">
        <v>281.27417847858851</v>
      </c>
      <c r="N1519" s="1">
        <v>-13.067121805571471</v>
      </c>
      <c r="O1519" s="1">
        <v>2.1135917519179951E-6</v>
      </c>
    </row>
    <row r="1520" spans="1:15" x14ac:dyDescent="0.25">
      <c r="A1520">
        <v>2240.38</v>
      </c>
      <c r="B1520" s="1">
        <v>0.1</v>
      </c>
      <c r="C1520" s="1">
        <v>2.8176094961354448</v>
      </c>
      <c r="D1520" s="1">
        <v>513.4</v>
      </c>
      <c r="E1520" s="1">
        <v>308.93847178570246</v>
      </c>
      <c r="F1520" s="1">
        <v>138.41363102041797</v>
      </c>
      <c r="G1520" s="1">
        <v>1935.5878310100472</v>
      </c>
      <c r="H1520" s="1">
        <v>2.8159999999999998E-2</v>
      </c>
      <c r="I1520" s="1">
        <v>120.35967914818956</v>
      </c>
      <c r="J1520" s="1">
        <v>15.446923589285124</v>
      </c>
      <c r="K1520" s="1">
        <v>9.4567396026686637E-2</v>
      </c>
      <c r="L1520" s="1">
        <v>89.43157141590703</v>
      </c>
      <c r="M1520" s="1">
        <v>281.76094961354465</v>
      </c>
      <c r="N1520" s="1">
        <v>-13.070231805571471</v>
      </c>
      <c r="O1520" s="1">
        <v>2.1070286924169352E-6</v>
      </c>
    </row>
    <row r="1521" spans="1:15" x14ac:dyDescent="0.25">
      <c r="A1521">
        <v>2243.1999999999998</v>
      </c>
      <c r="B1521" s="1">
        <v>0.1</v>
      </c>
      <c r="C1521" s="1">
        <v>2.8224900699971678</v>
      </c>
      <c r="D1521" s="1">
        <v>513.5</v>
      </c>
      <c r="E1521" s="1">
        <v>309.66760622992416</v>
      </c>
      <c r="F1521" s="1">
        <v>138.73630834411978</v>
      </c>
      <c r="G1521" s="1">
        <v>1938.6845070441057</v>
      </c>
      <c r="H1521" s="1">
        <v>2.8159999999999998E-2</v>
      </c>
      <c r="I1521" s="1">
        <v>120.64026812532158</v>
      </c>
      <c r="J1521" s="1">
        <v>15.483380311496209</v>
      </c>
      <c r="K1521" s="1">
        <v>9.4550852342925401E-2</v>
      </c>
      <c r="L1521" s="1">
        <v>89.448000084279116</v>
      </c>
      <c r="M1521" s="1">
        <v>282.24900699970021</v>
      </c>
      <c r="N1521" s="1">
        <v>-13.07334180557147</v>
      </c>
      <c r="O1521" s="1">
        <v>2.1004860123245171E-6</v>
      </c>
    </row>
    <row r="1522" spans="1:15" x14ac:dyDescent="0.25">
      <c r="A1522">
        <v>2246.0300000000002</v>
      </c>
      <c r="B1522" s="1">
        <v>0.1</v>
      </c>
      <c r="C1522" s="1">
        <v>2.8273835567891803</v>
      </c>
      <c r="D1522" s="1">
        <v>513.6</v>
      </c>
      <c r="E1522" s="1">
        <v>310.39928813851867</v>
      </c>
      <c r="F1522" s="1">
        <v>139.06009737543857</v>
      </c>
      <c r="G1522" s="1">
        <v>1941.788499897054</v>
      </c>
      <c r="H1522" s="1">
        <v>2.8159999999999998E-2</v>
      </c>
      <c r="I1522" s="1">
        <v>120.92182380472923</v>
      </c>
      <c r="J1522" s="1">
        <v>15.519964406925935</v>
      </c>
      <c r="K1522" s="1">
        <v>9.4534322229829895E-2</v>
      </c>
      <c r="L1522" s="1">
        <v>89.464421019354148</v>
      </c>
      <c r="M1522" s="1">
        <v>282.73835567893002</v>
      </c>
      <c r="N1522" s="1">
        <v>-13.07645180557147</v>
      </c>
      <c r="O1522" s="1">
        <v>2.0939636483592339E-6</v>
      </c>
    </row>
    <row r="1523" spans="1:15" x14ac:dyDescent="0.25">
      <c r="A1523">
        <v>2248.86</v>
      </c>
      <c r="B1523" s="1">
        <v>0.1</v>
      </c>
      <c r="C1523" s="1">
        <v>2.8322900071984942</v>
      </c>
      <c r="D1523" s="1">
        <v>513.70000000000005</v>
      </c>
      <c r="E1523" s="1">
        <v>311.13352973857201</v>
      </c>
      <c r="F1523" s="1">
        <v>139.38500337440331</v>
      </c>
      <c r="G1523" s="1">
        <v>1944.8998351658038</v>
      </c>
      <c r="H1523" s="1">
        <v>2.8159999999999998E-2</v>
      </c>
      <c r="I1523" s="1">
        <v>121.20435076035072</v>
      </c>
      <c r="J1523" s="1">
        <v>15.556676486928602</v>
      </c>
      <c r="K1523" s="1">
        <v>9.4517805672819422E-2</v>
      </c>
      <c r="L1523" s="1">
        <v>89.480834224493648</v>
      </c>
      <c r="M1523" s="1">
        <v>283.22900071984805</v>
      </c>
      <c r="N1523" s="1">
        <v>-13.079561805571471</v>
      </c>
      <c r="O1523" s="1">
        <v>2.0874615374360742E-6</v>
      </c>
    </row>
    <row r="1524" spans="1:15" x14ac:dyDescent="0.25">
      <c r="A1524">
        <v>2251.6999999999998</v>
      </c>
      <c r="B1524" s="1">
        <v>0.1</v>
      </c>
      <c r="C1524" s="1">
        <v>2.8372094721832148</v>
      </c>
      <c r="D1524" s="1">
        <v>513.80000000000007</v>
      </c>
      <c r="E1524" s="1">
        <v>311.87034333250983</v>
      </c>
      <c r="F1524" s="1">
        <v>139.71103163297241</v>
      </c>
      <c r="G1524" s="1">
        <v>1948.018538570293</v>
      </c>
      <c r="H1524" s="1">
        <v>2.8159999999999998E-2</v>
      </c>
      <c r="I1524" s="1">
        <v>121.48785359388907</v>
      </c>
      <c r="J1524" s="1">
        <v>15.593517166625492</v>
      </c>
      <c r="K1524" s="1">
        <v>9.4501302657315767E-2</v>
      </c>
      <c r="L1524" s="1">
        <v>89.497239703075849</v>
      </c>
      <c r="M1524" s="1">
        <v>283.72094721830763</v>
      </c>
      <c r="N1524" s="1">
        <v>-13.08267180557147</v>
      </c>
      <c r="O1524" s="1">
        <v>2.0809796166659278E-6</v>
      </c>
    </row>
    <row r="1525" spans="1:15" x14ac:dyDescent="0.25">
      <c r="A1525">
        <v>2254.54</v>
      </c>
      <c r="B1525" s="1">
        <v>0.1</v>
      </c>
      <c r="C1525" s="1">
        <v>2.842142002974096</v>
      </c>
      <c r="D1525" s="1">
        <v>513.9</v>
      </c>
      <c r="E1525" s="1">
        <v>312.60974129863064</v>
      </c>
      <c r="F1525" s="1">
        <v>140.03818747526887</v>
      </c>
      <c r="G1525" s="1">
        <v>1951.1446359542422</v>
      </c>
      <c r="H1525" s="1">
        <v>2.8159999999999998E-2</v>
      </c>
      <c r="I1525" s="1">
        <v>121.77233693501645</v>
      </c>
      <c r="J1525" s="1">
        <v>15.630487064931533</v>
      </c>
      <c r="K1525" s="1">
        <v>9.448481316874334E-2</v>
      </c>
      <c r="L1525" s="1">
        <v>89.513637458495452</v>
      </c>
      <c r="M1525" s="1">
        <v>284.21420029740148</v>
      </c>
      <c r="N1525" s="1">
        <v>-13.08578180557147</v>
      </c>
      <c r="O1525" s="1">
        <v>2.0745178233549548E-6</v>
      </c>
    </row>
    <row r="1526" spans="1:15" x14ac:dyDescent="0.25">
      <c r="A1526">
        <v>2257.38</v>
      </c>
      <c r="B1526" s="1">
        <v>0.1</v>
      </c>
      <c r="C1526" s="1">
        <v>2.8470876510760208</v>
      </c>
      <c r="D1526" s="1">
        <v>514</v>
      </c>
      <c r="E1526" s="1">
        <v>313.35173609150502</v>
      </c>
      <c r="F1526" s="1">
        <v>140.36647625780682</v>
      </c>
      <c r="G1526" s="1">
        <v>1954.278153285916</v>
      </c>
      <c r="H1526" s="1">
        <v>2.8159999999999998E-2</v>
      </c>
      <c r="I1526" s="1">
        <v>122.05780544157118</v>
      </c>
      <c r="J1526" s="1">
        <v>15.667586804575251</v>
      </c>
      <c r="K1526" s="1">
        <v>9.4468337192529922E-2</v>
      </c>
      <c r="L1526" s="1">
        <v>89.530027494162994</v>
      </c>
      <c r="M1526" s="1">
        <v>284.70876510759808</v>
      </c>
      <c r="N1526" s="1">
        <v>-13.088891805571471</v>
      </c>
      <c r="O1526" s="1">
        <v>2.0680760950039899E-6</v>
      </c>
    </row>
    <row r="1527" spans="1:15" x14ac:dyDescent="0.25">
      <c r="A1527">
        <v>2260.2399999999998</v>
      </c>
      <c r="B1527" s="1">
        <v>0.1</v>
      </c>
      <c r="C1527" s="1">
        <v>2.8520464682709403</v>
      </c>
      <c r="D1527" s="1">
        <v>514.1</v>
      </c>
      <c r="E1527" s="1">
        <v>314.09634024277545</v>
      </c>
      <c r="F1527" s="1">
        <v>140.69590336975349</v>
      </c>
      <c r="G1527" s="1">
        <v>1957.4191166588976</v>
      </c>
      <c r="H1527" s="1">
        <v>2.8159999999999998E-2</v>
      </c>
      <c r="I1527" s="1">
        <v>122.34426379978568</v>
      </c>
      <c r="J1527" s="1">
        <v>15.704817012138774</v>
      </c>
      <c r="K1527" s="1">
        <v>9.4451874714105585E-2</v>
      </c>
      <c r="L1527" s="1">
        <v>89.54640981350579</v>
      </c>
      <c r="M1527" s="1">
        <v>285.20464682710553</v>
      </c>
      <c r="N1527" s="1">
        <v>-13.092001805571471</v>
      </c>
      <c r="O1527" s="1">
        <v>2.0616543693079495E-6</v>
      </c>
    </row>
    <row r="1528" spans="1:15" x14ac:dyDescent="0.25">
      <c r="A1528">
        <v>2263.09</v>
      </c>
      <c r="B1528" s="1">
        <v>0.1</v>
      </c>
      <c r="C1528" s="1">
        <v>2.8570185066187452</v>
      </c>
      <c r="D1528" s="1">
        <v>514.20000000000005</v>
      </c>
      <c r="E1528" s="1">
        <v>314.84356636168889</v>
      </c>
      <c r="F1528" s="1">
        <v>141.02647423316051</v>
      </c>
      <c r="G1528" s="1">
        <v>1960.5675522928614</v>
      </c>
      <c r="H1528" s="1">
        <v>2.8159999999999998E-2</v>
      </c>
      <c r="I1528" s="1">
        <v>122.63171672448743</v>
      </c>
      <c r="J1528" s="1">
        <v>15.742178318084445</v>
      </c>
      <c r="K1528" s="1">
        <v>9.4435425718902885E-2</v>
      </c>
      <c r="L1528" s="1">
        <v>89.562784419967855</v>
      </c>
      <c r="M1528" s="1">
        <v>285.7018506618715</v>
      </c>
      <c r="N1528" s="1">
        <v>-13.09511180557147</v>
      </c>
      <c r="O1528" s="1">
        <v>2.0552525841552065E-6</v>
      </c>
    </row>
    <row r="1529" spans="1:15" x14ac:dyDescent="0.25">
      <c r="A1529">
        <v>2265.96</v>
      </c>
      <c r="B1529" s="1">
        <v>0.1</v>
      </c>
      <c r="C1529" s="1">
        <v>2.8620038184594092</v>
      </c>
      <c r="D1529" s="1">
        <v>514.30000000000007</v>
      </c>
      <c r="E1529" s="1">
        <v>315.59342713562978</v>
      </c>
      <c r="F1529" s="1">
        <v>141.35819430320629</v>
      </c>
      <c r="G1529" s="1">
        <v>1963.7234865343555</v>
      </c>
      <c r="H1529" s="1">
        <v>2.8159999999999998E-2</v>
      </c>
      <c r="I1529" s="1">
        <v>122.92016895930985</v>
      </c>
      <c r="J1529" s="1">
        <v>15.77967135678149</v>
      </c>
      <c r="K1529" s="1">
        <v>9.4418990192357041E-2</v>
      </c>
      <c r="L1529" s="1">
        <v>89.579151317009661</v>
      </c>
      <c r="M1529" s="1">
        <v>286.20038184594705</v>
      </c>
      <c r="N1529" s="1">
        <v>-13.09822180557147</v>
      </c>
      <c r="O1529" s="1">
        <v>2.0488706776270054E-6</v>
      </c>
    </row>
    <row r="1530" spans="1:15" x14ac:dyDescent="0.25">
      <c r="A1530">
        <v>2268.8200000000002</v>
      </c>
      <c r="B1530" s="1">
        <v>0.1</v>
      </c>
      <c r="C1530" s="1">
        <v>2.8670024564155629</v>
      </c>
      <c r="D1530" s="1">
        <v>514.4</v>
      </c>
      <c r="E1530" s="1">
        <v>316.34593533098609</v>
      </c>
      <c r="F1530" s="1">
        <v>141.69106906846039</v>
      </c>
      <c r="G1530" s="1">
        <v>1966.8869458575925</v>
      </c>
      <c r="H1530" s="1">
        <v>2.8159999999999998E-2</v>
      </c>
      <c r="I1530" s="1">
        <v>123.20962527692211</v>
      </c>
      <c r="J1530" s="1">
        <v>15.817296766549305</v>
      </c>
      <c r="K1530" s="1">
        <v>9.4402568119904801E-2</v>
      </c>
      <c r="L1530" s="1">
        <v>89.595510508109243</v>
      </c>
      <c r="M1530" s="1">
        <v>286.70024564157757</v>
      </c>
      <c r="N1530" s="1">
        <v>-13.101331805571471</v>
      </c>
      <c r="O1530" s="1">
        <v>2.0425085879968543E-6</v>
      </c>
    </row>
    <row r="1531" spans="1:15" x14ac:dyDescent="0.25">
      <c r="A1531">
        <v>2271.69</v>
      </c>
      <c r="B1531" s="1">
        <v>0.1</v>
      </c>
      <c r="C1531" s="1">
        <v>2.8720144733932211</v>
      </c>
      <c r="D1531" s="1">
        <v>514.5</v>
      </c>
      <c r="E1531" s="1">
        <v>317.10110379288278</v>
      </c>
      <c r="F1531" s="1">
        <v>142.02510405111244</v>
      </c>
      <c r="G1531" s="1">
        <v>1970.0579568652363</v>
      </c>
      <c r="H1531" s="1">
        <v>2.8159999999999998E-2</v>
      </c>
      <c r="I1531" s="1">
        <v>123.50009047922825</v>
      </c>
      <c r="J1531" s="1">
        <v>15.855055189644141</v>
      </c>
      <c r="K1531" s="1">
        <v>9.4386159486987711E-2</v>
      </c>
      <c r="L1531" s="1">
        <v>89.611861996758947</v>
      </c>
      <c r="M1531" s="1">
        <v>287.20144733933921</v>
      </c>
      <c r="N1531" s="1">
        <v>-13.10444180557147</v>
      </c>
      <c r="O1531" s="1">
        <v>2.0361662537299433E-6</v>
      </c>
    </row>
    <row r="1532" spans="1:15" x14ac:dyDescent="0.25">
      <c r="A1532">
        <v>2274.5700000000002</v>
      </c>
      <c r="B1532" s="1">
        <v>0.1</v>
      </c>
      <c r="C1532" s="1">
        <v>2.8770399225849257</v>
      </c>
      <c r="D1532" s="1">
        <v>514.6</v>
      </c>
      <c r="E1532" s="1">
        <v>317.85894544724692</v>
      </c>
      <c r="F1532" s="1">
        <v>142.36030480724116</v>
      </c>
      <c r="G1532" s="1">
        <v>1973.2365462892085</v>
      </c>
      <c r="H1532" s="1">
        <v>2.8159999999999998E-2</v>
      </c>
      <c r="I1532" s="1">
        <v>123.79156939760101</v>
      </c>
      <c r="J1532" s="1">
        <v>15.892947272362347</v>
      </c>
      <c r="K1532" s="1">
        <v>9.4369764279046545E-2</v>
      </c>
      <c r="L1532" s="1">
        <v>89.628205786471099</v>
      </c>
      <c r="M1532" s="1">
        <v>287.70399225850269</v>
      </c>
      <c r="N1532" s="1">
        <v>-13.10755180557147</v>
      </c>
      <c r="O1532" s="1">
        <v>2.029843613482529E-6</v>
      </c>
    </row>
    <row r="1533" spans="1:15" x14ac:dyDescent="0.25">
      <c r="A1533">
        <v>2277.4499999999998</v>
      </c>
      <c r="B1533" s="1">
        <v>0.1</v>
      </c>
      <c r="C1533" s="1">
        <v>2.8820788574709013</v>
      </c>
      <c r="D1533" s="1">
        <v>514.70000000000005</v>
      </c>
      <c r="E1533" s="1">
        <v>318.61947329980819</v>
      </c>
      <c r="F1533" s="1">
        <v>142.69667692705957</v>
      </c>
      <c r="G1533" s="1">
        <v>1976.4227409914906</v>
      </c>
      <c r="H1533" s="1">
        <v>2.8159999999999998E-2</v>
      </c>
      <c r="I1533" s="1">
        <v>124.08406689309531</v>
      </c>
      <c r="J1533" s="1">
        <v>15.930973664990411</v>
      </c>
      <c r="K1533" s="1">
        <v>9.4353382481527234E-2</v>
      </c>
      <c r="L1533" s="1">
        <v>89.644541880771854</v>
      </c>
      <c r="M1533" s="1">
        <v>288.20788574707876</v>
      </c>
      <c r="N1533" s="1">
        <v>-13.110661805571468</v>
      </c>
      <c r="O1533" s="1">
        <v>2.0235406061013529E-6</v>
      </c>
    </row>
    <row r="1534" spans="1:15" x14ac:dyDescent="0.25">
      <c r="A1534">
        <v>2280.34</v>
      </c>
      <c r="B1534" s="1">
        <v>0.1</v>
      </c>
      <c r="C1534" s="1">
        <v>2.8871313318216592</v>
      </c>
      <c r="D1534" s="1">
        <v>514.80000000000007</v>
      </c>
      <c r="E1534" s="1">
        <v>319.38270043816442</v>
      </c>
      <c r="F1534" s="1">
        <v>143.03422603518243</v>
      </c>
      <c r="G1534" s="1">
        <v>1979.6165679649382</v>
      </c>
      <c r="H1534" s="1">
        <v>2.8159999999999998E-2</v>
      </c>
      <c r="I1534" s="1">
        <v>124.37758785668038</v>
      </c>
      <c r="J1534" s="1">
        <v>15.969135021908222</v>
      </c>
      <c r="K1534" s="1">
        <v>9.4337014079875381E-2</v>
      </c>
      <c r="L1534" s="1">
        <v>89.660870283206876</v>
      </c>
      <c r="M1534" s="1">
        <v>288.71313318218199</v>
      </c>
      <c r="N1534" s="1">
        <v>-13.113771805571469</v>
      </c>
      <c r="O1534" s="1">
        <v>2.0172571706230478E-6</v>
      </c>
    </row>
    <row r="1535" spans="1:15" x14ac:dyDescent="0.25">
      <c r="A1535">
        <v>2283.23</v>
      </c>
      <c r="B1535" s="1">
        <v>0.1</v>
      </c>
      <c r="C1535" s="1">
        <v>2.8921973996992465</v>
      </c>
      <c r="D1535" s="1">
        <v>514.9</v>
      </c>
      <c r="E1535" s="1">
        <v>320.14864003124808</v>
      </c>
      <c r="F1535" s="1">
        <v>143.37295779087196</v>
      </c>
      <c r="G1535" s="1">
        <v>1982.818054334097</v>
      </c>
      <c r="H1535" s="1">
        <v>2.8159999999999998E-2</v>
      </c>
      <c r="I1535" s="1">
        <v>124.67213720945391</v>
      </c>
      <c r="J1535" s="1">
        <v>16.007432001562403</v>
      </c>
      <c r="K1535" s="1">
        <v>9.4320659059540637E-2</v>
      </c>
      <c r="L1535" s="1">
        <v>89.677190997336837</v>
      </c>
      <c r="M1535" s="1">
        <v>289.21973996993984</v>
      </c>
      <c r="N1535" s="1">
        <v>-13.116881805571472</v>
      </c>
      <c r="O1535" s="1">
        <v>2.0109932462735418E-6</v>
      </c>
    </row>
    <row r="1536" spans="1:15" x14ac:dyDescent="0.25">
      <c r="A1536">
        <v>2286.13</v>
      </c>
      <c r="B1536" s="1">
        <v>0.1</v>
      </c>
      <c r="C1536" s="1">
        <v>2.8972771154598664</v>
      </c>
      <c r="D1536" s="1">
        <v>515</v>
      </c>
      <c r="E1536" s="1">
        <v>320.91730533065908</v>
      </c>
      <c r="F1536" s="1">
        <v>143.71287788830591</v>
      </c>
      <c r="G1536" s="1">
        <v>1986.0272273560277</v>
      </c>
      <c r="H1536" s="1">
        <v>2.8159999999999998E-2</v>
      </c>
      <c r="I1536" s="1">
        <v>124.96771990287475</v>
      </c>
      <c r="J1536" s="1">
        <v>16.045865266532953</v>
      </c>
      <c r="K1536" s="1">
        <v>9.4304317405973878E-2</v>
      </c>
      <c r="L1536" s="1">
        <v>89.693504026740356</v>
      </c>
      <c r="M1536" s="1">
        <v>289.72771154599286</v>
      </c>
      <c r="N1536" s="1">
        <v>-13.119991805571471</v>
      </c>
      <c r="O1536" s="1">
        <v>2.0047487724674973E-6</v>
      </c>
    </row>
    <row r="1537" spans="1:15" x14ac:dyDescent="0.25">
      <c r="A1537">
        <v>2289.0300000000002</v>
      </c>
      <c r="B1537" s="1">
        <v>0.1</v>
      </c>
      <c r="C1537" s="1">
        <v>2.9023705337557915</v>
      </c>
      <c r="D1537" s="1">
        <v>515.1</v>
      </c>
      <c r="E1537" s="1">
        <v>321.68870967086428</v>
      </c>
      <c r="F1537" s="1">
        <v>144.0539920568435</v>
      </c>
      <c r="G1537" s="1">
        <v>1989.2441144211368</v>
      </c>
      <c r="H1537" s="1">
        <v>2.8159999999999998E-2</v>
      </c>
      <c r="I1537" s="1">
        <v>125.26434091899435</v>
      </c>
      <c r="J1537" s="1">
        <v>16.084435483543214</v>
      </c>
      <c r="K1537" s="1">
        <v>9.4287989104628794E-2</v>
      </c>
      <c r="L1537" s="1">
        <v>89.709809375012213</v>
      </c>
      <c r="M1537" s="1">
        <v>290.23705337558567</v>
      </c>
      <c r="N1537" s="1">
        <v>-13.123101805571471</v>
      </c>
      <c r="O1537" s="1">
        <v>1.9985236888076844E-6</v>
      </c>
    </row>
    <row r="1538" spans="1:15" x14ac:dyDescent="0.25">
      <c r="A1538">
        <v>2291.94</v>
      </c>
      <c r="B1538" s="1">
        <v>0.1</v>
      </c>
      <c r="C1538" s="1">
        <v>2.9074777095371278</v>
      </c>
      <c r="D1538" s="1">
        <v>515.20000000000005</v>
      </c>
      <c r="E1538" s="1">
        <v>322.46286647032997</v>
      </c>
      <c r="F1538" s="1">
        <v>144.39630606128492</v>
      </c>
      <c r="G1538" s="1">
        <v>1992.4687430540139</v>
      </c>
      <c r="H1538" s="1">
        <v>2.8159999999999998E-2</v>
      </c>
      <c r="I1538" s="1">
        <v>125.56200527068259</v>
      </c>
      <c r="J1538" s="1">
        <v>16.123143323516498</v>
      </c>
      <c r="K1538" s="1">
        <v>9.4271674140960021E-2</v>
      </c>
      <c r="L1538" s="1">
        <v>89.726107045765445</v>
      </c>
      <c r="M1538" s="1">
        <v>290.74777095370337</v>
      </c>
      <c r="N1538" s="1">
        <v>-13.12621180557147</v>
      </c>
      <c r="O1538" s="1">
        <v>1.9923179350844211E-6</v>
      </c>
    </row>
    <row r="1539" spans="1:15" x14ac:dyDescent="0.25">
      <c r="A1539">
        <v>2294.85</v>
      </c>
      <c r="B1539" s="1">
        <v>0.1</v>
      </c>
      <c r="C1539" s="1">
        <v>2.9125986980544694</v>
      </c>
      <c r="D1539" s="1">
        <v>515.30000000000007</v>
      </c>
      <c r="E1539" s="1">
        <v>323.23978923165521</v>
      </c>
      <c r="F1539" s="1">
        <v>144.7398257021519</v>
      </c>
      <c r="G1539" s="1">
        <v>1995.7011409142774</v>
      </c>
      <c r="H1539" s="1">
        <v>2.8159999999999998E-2</v>
      </c>
      <c r="I1539" s="1">
        <v>125.86071800187125</v>
      </c>
      <c r="J1539" s="1">
        <v>16.16198946158276</v>
      </c>
      <c r="K1539" s="1">
        <v>9.4255372500424928E-2</v>
      </c>
      <c r="L1539" s="1">
        <v>89.742397042629349</v>
      </c>
      <c r="M1539" s="1">
        <v>291.2598698054353</v>
      </c>
      <c r="N1539" s="1">
        <v>-13.12932180557147</v>
      </c>
      <c r="O1539" s="1">
        <v>1.9861314512749903E-6</v>
      </c>
    </row>
    <row r="1540" spans="1:15" x14ac:dyDescent="0.25">
      <c r="A1540">
        <v>2297.77</v>
      </c>
      <c r="B1540" s="1">
        <v>0.1</v>
      </c>
      <c r="C1540" s="1">
        <v>2.9177335548602819</v>
      </c>
      <c r="D1540" s="1">
        <v>515.4</v>
      </c>
      <c r="E1540" s="1">
        <v>324.0194915425709</v>
      </c>
      <c r="F1540" s="1">
        <v>145.08455681594793</v>
      </c>
      <c r="G1540" s="1">
        <v>1998.9413357974211</v>
      </c>
      <c r="H1540" s="1">
        <v>2.8159999999999998E-2</v>
      </c>
      <c r="I1540" s="1">
        <v>126.16048418778085</v>
      </c>
      <c r="J1540" s="1">
        <v>16.200974577128544</v>
      </c>
      <c r="K1540" s="1">
        <v>9.4239084168482243E-2</v>
      </c>
      <c r="L1540" s="1">
        <v>89.758679369250999</v>
      </c>
      <c r="M1540" s="1">
        <v>291.77335548602059</v>
      </c>
      <c r="N1540" s="1">
        <v>-13.132431805571469</v>
      </c>
      <c r="O1540" s="1">
        <v>1.9799641775430524E-6</v>
      </c>
    </row>
    <row r="1541" spans="1:15" x14ac:dyDescent="0.25">
      <c r="A1541">
        <v>2300.69</v>
      </c>
      <c r="B1541" s="1">
        <v>0.1</v>
      </c>
      <c r="C1541" s="1">
        <v>2.9228823358114089</v>
      </c>
      <c r="D1541" s="1">
        <v>515.5</v>
      </c>
      <c r="E1541" s="1">
        <v>324.80198707647287</v>
      </c>
      <c r="F1541" s="1">
        <v>145.43050527543483</v>
      </c>
      <c r="G1541" s="1">
        <v>2002.1893556356717</v>
      </c>
      <c r="H1541" s="1">
        <v>2.8159999999999998E-2</v>
      </c>
      <c r="I1541" s="1">
        <v>126.46130893516073</v>
      </c>
      <c r="J1541" s="1">
        <v>16.240099353823645</v>
      </c>
      <c r="K1541" s="1">
        <v>9.4222809130592639E-2</v>
      </c>
      <c r="L1541" s="1">
        <v>89.774954029294619</v>
      </c>
      <c r="M1541" s="1">
        <v>292.28823358112095</v>
      </c>
      <c r="N1541" s="1">
        <v>-13.135541805571469</v>
      </c>
      <c r="O1541" s="1">
        <v>1.9738160542380714E-6</v>
      </c>
    </row>
    <row r="1542" spans="1:15" x14ac:dyDescent="0.25">
      <c r="A1542">
        <v>2303.62</v>
      </c>
      <c r="B1542" s="1">
        <v>0.1</v>
      </c>
      <c r="C1542" s="1">
        <v>2.9280450970711227</v>
      </c>
      <c r="D1542" s="1">
        <v>515.6</v>
      </c>
      <c r="E1542" s="1">
        <v>325.58728959295456</v>
      </c>
      <c r="F1542" s="1">
        <v>145.77767698990883</v>
      </c>
      <c r="G1542" s="1">
        <v>2005.4452284988538</v>
      </c>
      <c r="H1542" s="1">
        <v>2.8159999999999998E-2</v>
      </c>
      <c r="I1542" s="1">
        <v>126.76319738252944</v>
      </c>
      <c r="J1542" s="1">
        <v>16.279364479647729</v>
      </c>
      <c r="K1542" s="1">
        <v>9.4206547372218827E-2</v>
      </c>
      <c r="L1542" s="1">
        <v>89.791221026441363</v>
      </c>
      <c r="M1542" s="1">
        <v>292.80450970709353</v>
      </c>
      <c r="N1542" s="1">
        <v>-13.138651805571472</v>
      </c>
      <c r="O1542" s="1">
        <v>1.9676870218947294E-6</v>
      </c>
    </row>
    <row r="1543" spans="1:15" x14ac:dyDescent="0.25">
      <c r="A1543">
        <v>2306.5500000000002</v>
      </c>
      <c r="B1543" s="1">
        <v>0.1</v>
      </c>
      <c r="C1543" s="1">
        <v>2.9332218951110893</v>
      </c>
      <c r="D1543" s="1">
        <v>515.70000000000005</v>
      </c>
      <c r="E1543" s="1">
        <v>326.37541293853991</v>
      </c>
      <c r="F1543" s="1">
        <v>146.12607790547469</v>
      </c>
      <c r="G1543" s="1">
        <v>2008.7089825952555</v>
      </c>
      <c r="H1543" s="1">
        <v>2.8159999999999998E-2</v>
      </c>
      <c r="I1543" s="1">
        <v>127.0661547004128</v>
      </c>
      <c r="J1543" s="1">
        <v>16.318770646926996</v>
      </c>
      <c r="K1543" s="1">
        <v>9.4190298878825546E-2</v>
      </c>
      <c r="L1543" s="1">
        <v>89.807480364389534</v>
      </c>
      <c r="M1543" s="1">
        <v>293.32218951112736</v>
      </c>
      <c r="N1543" s="1">
        <v>-13.141761805571472</v>
      </c>
      <c r="O1543" s="1">
        <v>1.9615770212323784E-6</v>
      </c>
    </row>
    <row r="1544" spans="1:15" x14ac:dyDescent="0.25">
      <c r="A1544">
        <v>2309.4899999999998</v>
      </c>
      <c r="B1544" s="1">
        <v>0.1</v>
      </c>
      <c r="C1544" s="1">
        <v>2.9384127867141698</v>
      </c>
      <c r="D1544" s="1">
        <v>515.80000000000007</v>
      </c>
      <c r="E1544" s="1">
        <v>327.16637104788225</v>
      </c>
      <c r="F1544" s="1">
        <v>146.47571400534144</v>
      </c>
      <c r="G1544" s="1">
        <v>2011.9806462725123</v>
      </c>
      <c r="H1544" s="1">
        <v>2.8159999999999998E-2</v>
      </c>
      <c r="I1544" s="1">
        <v>127.37018609160131</v>
      </c>
      <c r="J1544" s="1">
        <v>16.358318552394113</v>
      </c>
      <c r="K1544" s="1">
        <v>9.4174063635877395E-2</v>
      </c>
      <c r="L1544" s="1">
        <v>89.82373204685662</v>
      </c>
      <c r="M1544" s="1">
        <v>293.84127867142524</v>
      </c>
      <c r="N1544" s="1">
        <v>-13.144871805571471</v>
      </c>
      <c r="O1544" s="1">
        <v>1.9554859931544265E-6</v>
      </c>
    </row>
    <row r="1545" spans="1:15" x14ac:dyDescent="0.25">
      <c r="A1545">
        <v>2312.44</v>
      </c>
      <c r="B1545" s="1">
        <v>0.1</v>
      </c>
      <c r="C1545" s="1">
        <v>2.9436178289753618</v>
      </c>
      <c r="D1545" s="1">
        <v>515.9</v>
      </c>
      <c r="E1545" s="1">
        <v>327.96017794316515</v>
      </c>
      <c r="F1545" s="1">
        <v>146.82659131008282</v>
      </c>
      <c r="G1545" s="1">
        <v>2015.2602480184823</v>
      </c>
      <c r="H1545" s="1">
        <v>2.8159999999999998E-2</v>
      </c>
      <c r="I1545" s="1">
        <v>127.6752967913764</v>
      </c>
      <c r="J1545" s="1">
        <v>16.39800889715826</v>
      </c>
      <c r="K1545" s="1">
        <v>9.4157841628843525E-2</v>
      </c>
      <c r="L1545" s="1">
        <v>89.839976077574534</v>
      </c>
      <c r="M1545" s="1">
        <v>294.36178289752206</v>
      </c>
      <c r="N1545" s="1">
        <v>-13.147981805571471</v>
      </c>
      <c r="O1545" s="1">
        <v>1.9494138787477934E-6</v>
      </c>
    </row>
    <row r="1546" spans="1:15" x14ac:dyDescent="0.25">
      <c r="A1546">
        <v>2315.39</v>
      </c>
      <c r="B1546" s="1">
        <v>0.1</v>
      </c>
      <c r="C1546" s="1">
        <v>2.948837079305576</v>
      </c>
      <c r="D1546" s="1">
        <v>516</v>
      </c>
      <c r="E1546" s="1">
        <v>328.75684773656656</v>
      </c>
      <c r="F1546" s="1">
        <v>147.17871587794974</v>
      </c>
      <c r="G1546" s="1">
        <v>2018.5478164621434</v>
      </c>
      <c r="H1546" s="1">
        <v>2.8159999999999998E-2</v>
      </c>
      <c r="I1546" s="1">
        <v>127.98149206778241</v>
      </c>
      <c r="J1546" s="1">
        <v>16.437842386828329</v>
      </c>
      <c r="K1546" s="1">
        <v>9.4141632843191145E-2</v>
      </c>
      <c r="L1546" s="1">
        <v>89.856212460296348</v>
      </c>
      <c r="M1546" s="1">
        <v>294.88370793055765</v>
      </c>
      <c r="N1546" s="1">
        <v>-13.151091805571468</v>
      </c>
      <c r="O1546" s="1">
        <v>1.9433606192823346E-6</v>
      </c>
    </row>
    <row r="1547" spans="1:15" x14ac:dyDescent="0.25">
      <c r="A1547">
        <v>2318.34</v>
      </c>
      <c r="B1547" s="1">
        <v>0.1</v>
      </c>
      <c r="C1547" s="1">
        <v>2.9540705954322934</v>
      </c>
      <c r="D1547" s="1">
        <v>516.1</v>
      </c>
      <c r="E1547" s="1">
        <v>329.55639462912688</v>
      </c>
      <c r="F1547" s="1">
        <v>147.53209380513633</v>
      </c>
      <c r="G1547" s="1">
        <v>2021.8433803744865</v>
      </c>
      <c r="H1547" s="1">
        <v>2.8159999999999998E-2</v>
      </c>
      <c r="I1547" s="1">
        <v>128.28877722185769</v>
      </c>
      <c r="J1547" s="1">
        <v>16.477819731456346</v>
      </c>
      <c r="K1547" s="1">
        <v>9.4125437264391862E-2</v>
      </c>
      <c r="L1547" s="1">
        <v>89.872441198789616</v>
      </c>
      <c r="M1547" s="1">
        <v>295.4070595432313</v>
      </c>
      <c r="N1547" s="1">
        <v>-13.15420180557147</v>
      </c>
      <c r="O1547" s="1">
        <v>1.9373261562102709E-6</v>
      </c>
    </row>
    <row r="1548" spans="1:15" x14ac:dyDescent="0.25">
      <c r="A1548">
        <v>2321.3000000000002</v>
      </c>
      <c r="B1548" s="1">
        <v>0.1</v>
      </c>
      <c r="C1548" s="1">
        <v>2.9593184354029489</v>
      </c>
      <c r="D1548" s="1">
        <v>516.20000000000005</v>
      </c>
      <c r="E1548" s="1">
        <v>330.35883291288036</v>
      </c>
      <c r="F1548" s="1">
        <v>147.88673122608554</v>
      </c>
      <c r="G1548" s="1">
        <v>2025.1469686694215</v>
      </c>
      <c r="H1548" s="1">
        <v>2.8159999999999998E-2</v>
      </c>
      <c r="I1548" s="1">
        <v>128.59715758790051</v>
      </c>
      <c r="J1548" s="1">
        <v>16.517941645644019</v>
      </c>
      <c r="K1548" s="1">
        <v>9.4109254877916784E-2</v>
      </c>
      <c r="L1548" s="1">
        <v>89.888662296841602</v>
      </c>
      <c r="M1548" s="1">
        <v>295.931843540302</v>
      </c>
      <c r="N1548" s="1">
        <v>-13.157311805571469</v>
      </c>
      <c r="O1548" s="1">
        <v>1.9313104311656262E-6</v>
      </c>
    </row>
    <row r="1549" spans="1:15" x14ac:dyDescent="0.25">
      <c r="A1549">
        <v>2324.2600000000002</v>
      </c>
      <c r="B1549" s="1">
        <v>0.1</v>
      </c>
      <c r="C1549" s="1">
        <v>2.9645806575863336</v>
      </c>
      <c r="D1549" s="1">
        <v>516.30000000000007</v>
      </c>
      <c r="E1549" s="1">
        <v>331.16417697072188</v>
      </c>
      <c r="F1549" s="1">
        <v>148.24263431377059</v>
      </c>
      <c r="G1549" s="1">
        <v>2028.4586104046853</v>
      </c>
      <c r="H1549" s="1">
        <v>2.8159999999999998E-2</v>
      </c>
      <c r="I1549" s="1">
        <v>128.90663853371359</v>
      </c>
      <c r="J1549" s="1">
        <v>16.558208848536093</v>
      </c>
      <c r="K1549" s="1">
        <v>9.4093085669239157E-2</v>
      </c>
      <c r="L1549" s="1">
        <v>89.904875758256381</v>
      </c>
      <c r="M1549" s="1">
        <v>296.45806575863389</v>
      </c>
      <c r="N1549" s="1">
        <v>-13.160421805571472</v>
      </c>
      <c r="O1549" s="1">
        <v>1.9253133859636518E-6</v>
      </c>
    </row>
    <row r="1550" spans="1:15" x14ac:dyDescent="0.25">
      <c r="A1550">
        <v>2327.23</v>
      </c>
      <c r="B1550" s="1">
        <v>0.1</v>
      </c>
      <c r="C1550" s="1">
        <v>2.9698573206756902</v>
      </c>
      <c r="D1550" s="1">
        <v>516.4</v>
      </c>
      <c r="E1550" s="1">
        <v>331.97244127740612</v>
      </c>
      <c r="F1550" s="1">
        <v>148.59980928000508</v>
      </c>
      <c r="G1550" s="1">
        <v>2031.7783347827658</v>
      </c>
      <c r="H1550" s="1">
        <v>2.8159999999999998E-2</v>
      </c>
      <c r="I1550" s="1">
        <v>129.21722546087403</v>
      </c>
      <c r="J1550" s="1">
        <v>16.598622063870305</v>
      </c>
      <c r="K1550" s="1">
        <v>9.4076929623833461E-2</v>
      </c>
      <c r="L1550" s="1">
        <v>89.921081586855848</v>
      </c>
      <c r="M1550" s="1">
        <v>296.98573206756009</v>
      </c>
      <c r="N1550" s="1">
        <v>-13.163531805571472</v>
      </c>
      <c r="O1550" s="1">
        <v>1.9193349626002943E-6</v>
      </c>
    </row>
    <row r="1551" spans="1:15" x14ac:dyDescent="0.25">
      <c r="A1551">
        <v>2330.21</v>
      </c>
      <c r="B1551" s="1">
        <v>0.1</v>
      </c>
      <c r="C1551" s="1">
        <v>2.9751484836902939</v>
      </c>
      <c r="D1551" s="1">
        <v>516.5</v>
      </c>
      <c r="E1551" s="1">
        <v>332.78364040034705</v>
      </c>
      <c r="F1551" s="1">
        <v>148.95826237573351</v>
      </c>
      <c r="G1551" s="1">
        <v>2035.1061711518228</v>
      </c>
      <c r="H1551" s="1">
        <v>2.8159999999999998E-2</v>
      </c>
      <c r="I1551" s="1">
        <v>129.52892380498568</v>
      </c>
      <c r="J1551" s="1">
        <v>16.639182020017355</v>
      </c>
      <c r="K1551" s="1">
        <v>9.4060786727175036E-2</v>
      </c>
      <c r="L1551" s="1">
        <v>89.937279786480147</v>
      </c>
      <c r="M1551" s="1">
        <v>297.51484836901909</v>
      </c>
      <c r="N1551" s="1">
        <v>-13.166641805571471</v>
      </c>
      <c r="O1551" s="1">
        <v>1.913375103251591E-6</v>
      </c>
    </row>
    <row r="1552" spans="1:15" x14ac:dyDescent="0.25">
      <c r="A1552">
        <v>2333.19</v>
      </c>
      <c r="B1552" s="1">
        <v>0.1</v>
      </c>
      <c r="C1552" s="1">
        <v>2.9804542059780874</v>
      </c>
      <c r="D1552" s="1">
        <v>516.6</v>
      </c>
      <c r="E1552" s="1">
        <v>333.59778900015067</v>
      </c>
      <c r="F1552" s="1">
        <v>149.31799989133515</v>
      </c>
      <c r="G1552" s="1">
        <v>2038.4421490066218</v>
      </c>
      <c r="H1552" s="1">
        <v>2.8159999999999998E-2</v>
      </c>
      <c r="I1552" s="1">
        <v>129.84173903594362</v>
      </c>
      <c r="J1552" s="1">
        <v>16.679889450007533</v>
      </c>
      <c r="K1552" s="1">
        <v>9.4044656964740597E-2</v>
      </c>
      <c r="L1552" s="1">
        <v>89.953470360987026</v>
      </c>
      <c r="M1552" s="1">
        <v>298.04542059782761</v>
      </c>
      <c r="N1552" s="1">
        <v>-13.169751805571471</v>
      </c>
      <c r="O1552" s="1">
        <v>1.9074337502731401E-6</v>
      </c>
    </row>
    <row r="1553" spans="1:15" x14ac:dyDescent="0.25">
      <c r="A1553">
        <v>2336.17</v>
      </c>
      <c r="B1553" s="1">
        <v>0.1</v>
      </c>
      <c r="C1553" s="1">
        <v>2.985774547218091</v>
      </c>
      <c r="D1553" s="1">
        <v>516.70000000000005</v>
      </c>
      <c r="E1553" s="1">
        <v>334.41490183141462</v>
      </c>
      <c r="F1553" s="1">
        <v>149.67902815693293</v>
      </c>
      <c r="G1553" s="1">
        <v>2041.7862979894762</v>
      </c>
      <c r="H1553" s="1">
        <v>2.8159999999999998E-2</v>
      </c>
      <c r="I1553" s="1">
        <v>130.15567665820257</v>
      </c>
      <c r="J1553" s="1">
        <v>16.720745091570731</v>
      </c>
      <c r="K1553" s="1">
        <v>9.4028540322007997E-2</v>
      </c>
      <c r="L1553" s="1">
        <v>89.969653314252142</v>
      </c>
      <c r="M1553" s="1">
        <v>298.57745472181705</v>
      </c>
      <c r="N1553" s="1">
        <v>-13.17286180557147</v>
      </c>
      <c r="O1553" s="1">
        <v>1.9015108461995352E-6</v>
      </c>
    </row>
    <row r="1554" spans="1:15" x14ac:dyDescent="0.25">
      <c r="A1554">
        <v>2339.17</v>
      </c>
      <c r="B1554" s="1">
        <v>0.1</v>
      </c>
      <c r="C1554" s="1">
        <v>2.9911095674224191</v>
      </c>
      <c r="D1554" s="1">
        <v>516.80000000000007</v>
      </c>
      <c r="E1554" s="1">
        <v>335.23499374359392</v>
      </c>
      <c r="F1554" s="1">
        <v>150.04135354269505</v>
      </c>
      <c r="G1554" s="1">
        <v>2045.1386478911929</v>
      </c>
      <c r="H1554" s="1">
        <v>2.8159999999999998E-2</v>
      </c>
      <c r="I1554" s="1">
        <v>130.47074221103921</v>
      </c>
      <c r="J1554" s="1">
        <v>16.761749687179698</v>
      </c>
      <c r="K1554" s="1">
        <v>9.4012436784455769E-2</v>
      </c>
      <c r="L1554" s="1">
        <v>89.985828650169523</v>
      </c>
      <c r="M1554" s="1">
        <v>299.11095674224271</v>
      </c>
      <c r="N1554" s="1">
        <v>-13.17597180557147</v>
      </c>
      <c r="O1554" s="1">
        <v>1.89560633374381E-6</v>
      </c>
    </row>
    <row r="1555" spans="1:15" x14ac:dyDescent="0.25">
      <c r="A1555">
        <v>2342.16</v>
      </c>
      <c r="B1555" s="1">
        <v>0.1</v>
      </c>
      <c r="C1555" s="1">
        <v>2.9964593269390294</v>
      </c>
      <c r="D1555" s="1">
        <v>516.9</v>
      </c>
      <c r="E1555" s="1">
        <v>336.05807968160042</v>
      </c>
      <c r="F1555" s="1">
        <v>150.40498245915143</v>
      </c>
      <c r="G1555" s="1">
        <v>2048.4992286520278</v>
      </c>
      <c r="H1555" s="1">
        <v>2.8159999999999998E-2</v>
      </c>
      <c r="I1555" s="1">
        <v>130.78694126882735</v>
      </c>
      <c r="J1555" s="1">
        <v>16.802903984080022</v>
      </c>
      <c r="K1555" s="1">
        <v>9.3996346337563499E-2</v>
      </c>
      <c r="L1555" s="1">
        <v>90.00199637265122</v>
      </c>
      <c r="M1555" s="1">
        <v>299.64593269392026</v>
      </c>
      <c r="N1555" s="1">
        <v>-13.179081805571469</v>
      </c>
      <c r="O1555" s="1">
        <v>1.8897201557968829E-6</v>
      </c>
    </row>
    <row r="1556" spans="1:15" x14ac:dyDescent="0.25">
      <c r="A1556">
        <v>2345.16</v>
      </c>
      <c r="B1556" s="1">
        <v>0.1</v>
      </c>
      <c r="C1556" s="1">
        <v>3.0018238864536038</v>
      </c>
      <c r="D1556" s="1">
        <v>517</v>
      </c>
      <c r="E1556" s="1">
        <v>336.88417468653586</v>
      </c>
      <c r="F1556" s="1">
        <v>150.76992135749731</v>
      </c>
      <c r="G1556" s="1">
        <v>2051.8680703626464</v>
      </c>
      <c r="H1556" s="1">
        <v>2.8159999999999998E-2</v>
      </c>
      <c r="I1556" s="1">
        <v>131.10427944130203</v>
      </c>
      <c r="J1556" s="1">
        <v>16.844208734326795</v>
      </c>
      <c r="K1556" s="1">
        <v>9.3980268966811886E-2</v>
      </c>
      <c r="L1556" s="1">
        <v>90.018156485627145</v>
      </c>
      <c r="M1556" s="1">
        <v>300.18238864536215</v>
      </c>
      <c r="N1556" s="1">
        <v>-13.182191805571472</v>
      </c>
      <c r="O1556" s="1">
        <v>1.8838522554269999E-6</v>
      </c>
    </row>
    <row r="1557" spans="1:15" x14ac:dyDescent="0.25">
      <c r="A1557">
        <v>2348.17</v>
      </c>
      <c r="B1557" s="1">
        <v>0.1</v>
      </c>
      <c r="C1557" s="1">
        <v>3.0072033069924822</v>
      </c>
      <c r="D1557" s="1">
        <v>517.1</v>
      </c>
      <c r="E1557" s="1">
        <v>337.71329389642449</v>
      </c>
      <c r="F1557" s="1">
        <v>151.13617672991643</v>
      </c>
      <c r="G1557" s="1">
        <v>2055.2452032650972</v>
      </c>
      <c r="H1557" s="1">
        <v>2.8159999999999998E-2</v>
      </c>
      <c r="I1557" s="1">
        <v>131.42276237384038</v>
      </c>
      <c r="J1557" s="1">
        <v>16.885664694821227</v>
      </c>
      <c r="K1557" s="1">
        <v>9.3964204657682668E-2</v>
      </c>
      <c r="L1557" s="1">
        <v>90.034308993045187</v>
      </c>
      <c r="M1557" s="1">
        <v>300.72033069923236</v>
      </c>
      <c r="N1557" s="1">
        <v>-13.185301805571472</v>
      </c>
      <c r="O1557" s="1">
        <v>1.8780025758792092E-6</v>
      </c>
    </row>
    <row r="1558" spans="1:15" x14ac:dyDescent="0.25">
      <c r="A1558">
        <v>2351.1799999999998</v>
      </c>
      <c r="B1558" s="1">
        <v>0.1</v>
      </c>
      <c r="C1558" s="1">
        <v>3.0125976499252207</v>
      </c>
      <c r="D1558" s="1">
        <v>517.20000000000005</v>
      </c>
      <c r="E1558" s="1">
        <v>338.54545254747848</v>
      </c>
      <c r="F1558" s="1">
        <v>151.50375510991043</v>
      </c>
      <c r="G1558" s="1">
        <v>2058.6306577537894</v>
      </c>
      <c r="H1558" s="1">
        <v>2.8159999999999998E-2</v>
      </c>
      <c r="I1558" s="1">
        <v>131.74239574774822</v>
      </c>
      <c r="J1558" s="1">
        <v>16.927272627373924</v>
      </c>
      <c r="K1558" s="1">
        <v>9.3948153395656916E-2</v>
      </c>
      <c r="L1558" s="1">
        <v>90.050453898873002</v>
      </c>
      <c r="M1558" s="1">
        <v>301.25976499252829</v>
      </c>
      <c r="N1558" s="1">
        <v>-13.188411805571471</v>
      </c>
      <c r="O1558" s="1">
        <v>1.8721710605747736E-6</v>
      </c>
    </row>
    <row r="1559" spans="1:15" x14ac:dyDescent="0.25">
      <c r="A1559">
        <v>2354.1999999999998</v>
      </c>
      <c r="B1559" s="1">
        <v>0.1</v>
      </c>
      <c r="C1559" s="1">
        <v>3.018006976966106</v>
      </c>
      <c r="D1559" s="1">
        <v>517.30000000000007</v>
      </c>
      <c r="E1559" s="1">
        <v>339.38066597403173</v>
      </c>
      <c r="F1559" s="1">
        <v>151.87266307260191</v>
      </c>
      <c r="G1559" s="1">
        <v>2062.0244643764754</v>
      </c>
      <c r="H1559" s="1">
        <v>2.8159999999999998E-2</v>
      </c>
      <c r="I1559" s="1">
        <v>132.06318528052341</v>
      </c>
      <c r="J1559" s="1">
        <v>16.969033298701586</v>
      </c>
      <c r="K1559" s="1">
        <v>9.3932115166217842E-2</v>
      </c>
      <c r="L1559" s="1">
        <v>90.066591207095072</v>
      </c>
      <c r="M1559" s="1">
        <v>301.80069769662623</v>
      </c>
      <c r="N1559" s="1">
        <v>-13.191521805571471</v>
      </c>
      <c r="O1559" s="1">
        <v>1.8663576531106478E-6</v>
      </c>
    </row>
    <row r="1560" spans="1:15" x14ac:dyDescent="0.25">
      <c r="A1560">
        <v>2357.23</v>
      </c>
      <c r="B1560" s="1">
        <v>0.1</v>
      </c>
      <c r="C1560" s="1">
        <v>3.0234313501773546</v>
      </c>
      <c r="D1560" s="1">
        <v>517.4</v>
      </c>
      <c r="E1560" s="1">
        <v>340.2189496097385</v>
      </c>
      <c r="F1560" s="1">
        <v>152.24290723506454</v>
      </c>
      <c r="G1560" s="1">
        <v>2065.4266538352449</v>
      </c>
      <c r="H1560" s="1">
        <v>2.8159999999999998E-2</v>
      </c>
      <c r="I1560" s="1">
        <v>132.38513672614312</v>
      </c>
      <c r="J1560" s="1">
        <v>17.010947480486927</v>
      </c>
      <c r="K1560" s="1">
        <v>9.3916089954849347E-2</v>
      </c>
      <c r="L1560" s="1">
        <v>90.082720921714241</v>
      </c>
      <c r="M1560" s="1">
        <v>302.34313501773613</v>
      </c>
      <c r="N1560" s="1">
        <v>-13.19463180557147</v>
      </c>
      <c r="O1560" s="1">
        <v>1.8605622972589282E-6</v>
      </c>
    </row>
    <row r="1561" spans="1:15" x14ac:dyDescent="0.25">
      <c r="A1561">
        <v>2360.25</v>
      </c>
      <c r="B1561" s="1">
        <v>0.1</v>
      </c>
      <c r="C1561" s="1">
        <v>3.0288708319717887</v>
      </c>
      <c r="D1561" s="1">
        <v>517.5</v>
      </c>
      <c r="E1561" s="1">
        <v>341.06031898883947</v>
      </c>
      <c r="F1561" s="1">
        <v>152.61449425666132</v>
      </c>
      <c r="G1561" s="1">
        <v>2068.8372569875278</v>
      </c>
      <c r="H1561" s="1">
        <v>2.8159999999999998E-2</v>
      </c>
      <c r="I1561" s="1">
        <v>132.70825587535774</v>
      </c>
      <c r="J1561" s="1">
        <v>17.053015949441974</v>
      </c>
      <c r="K1561" s="1">
        <v>9.3900077747034169E-2</v>
      </c>
      <c r="L1561" s="1">
        <v>90.098843046753515</v>
      </c>
      <c r="M1561" s="1">
        <v>302.88708319717443</v>
      </c>
      <c r="N1561" s="1">
        <v>-13.197741805571468</v>
      </c>
      <c r="O1561" s="1">
        <v>1.854784936966309E-6</v>
      </c>
    </row>
    <row r="1562" spans="1:15" x14ac:dyDescent="0.25">
      <c r="A1562">
        <v>2363.29</v>
      </c>
      <c r="B1562" s="1">
        <v>0.1</v>
      </c>
      <c r="C1562" s="1">
        <v>3.0343254851146368</v>
      </c>
      <c r="D1562" s="1">
        <v>517.6</v>
      </c>
      <c r="E1562" s="1">
        <v>341.90478974582828</v>
      </c>
      <c r="F1562" s="1">
        <v>152.98743083936287</v>
      </c>
      <c r="G1562" s="1">
        <v>2072.2563048471025</v>
      </c>
      <c r="H1562" s="1">
        <v>2.8159999999999998E-2</v>
      </c>
      <c r="I1562" s="1">
        <v>133.03254855596776</v>
      </c>
      <c r="J1562" s="1">
        <v>17.095239487291416</v>
      </c>
      <c r="K1562" s="1">
        <v>9.3884078528257919E-2</v>
      </c>
      <c r="L1562" s="1">
        <v>90.114957586252103</v>
      </c>
      <c r="M1562" s="1">
        <v>303.43254851145502</v>
      </c>
      <c r="N1562" s="1">
        <v>-13.200851805571469</v>
      </c>
      <c r="O1562" s="1">
        <v>1.8490255163535376E-6</v>
      </c>
    </row>
    <row r="1563" spans="1:15" x14ac:dyDescent="0.25">
      <c r="A1563">
        <v>2366.33</v>
      </c>
      <c r="B1563" s="1">
        <v>0.1</v>
      </c>
      <c r="C1563" s="1">
        <v>3.0397953727267746</v>
      </c>
      <c r="D1563" s="1">
        <v>517.70000000000005</v>
      </c>
      <c r="E1563" s="1">
        <v>342.7523776177166</v>
      </c>
      <c r="F1563" s="1">
        <v>153.36172372809193</v>
      </c>
      <c r="G1563" s="1">
        <v>2075.6838285851127</v>
      </c>
      <c r="H1563" s="1">
        <v>2.8159999999999998E-2</v>
      </c>
      <c r="I1563" s="1">
        <v>133.35802063312349</v>
      </c>
      <c r="J1563" s="1">
        <v>17.137618880885832</v>
      </c>
      <c r="K1563" s="1">
        <v>9.3868092284003779E-2</v>
      </c>
      <c r="L1563" s="1">
        <v>90.131064544270643</v>
      </c>
      <c r="M1563" s="1">
        <v>303.97953727269851</v>
      </c>
      <c r="N1563" s="1">
        <v>-13.203961805571469</v>
      </c>
      <c r="O1563" s="1">
        <v>1.8432839797148778E-6</v>
      </c>
    </row>
    <row r="1564" spans="1:15" x14ac:dyDescent="0.25">
      <c r="A1564">
        <v>2369.37</v>
      </c>
      <c r="B1564" s="1">
        <v>0.1</v>
      </c>
      <c r="C1564" s="1">
        <v>3.0452805582867963</v>
      </c>
      <c r="D1564" s="1">
        <v>517.80000000000007</v>
      </c>
      <c r="E1564" s="1">
        <v>343.60309844316816</v>
      </c>
      <c r="F1564" s="1">
        <v>153.73737971105504</v>
      </c>
      <c r="G1564" s="1">
        <v>2079.1198595310939</v>
      </c>
      <c r="H1564" s="1">
        <v>2.8159999999999998E-2</v>
      </c>
      <c r="I1564" s="1">
        <v>133.68467800961312</v>
      </c>
      <c r="J1564" s="1">
        <v>17.180154922158408</v>
      </c>
      <c r="K1564" s="1">
        <v>9.3852118999758205E-2</v>
      </c>
      <c r="L1564" s="1">
        <v>90.147163924885433</v>
      </c>
      <c r="M1564" s="1">
        <v>304.52805582867768</v>
      </c>
      <c r="N1564" s="1">
        <v>-13.207071805571472</v>
      </c>
      <c r="O1564" s="1">
        <v>1.8375602715175615E-6</v>
      </c>
    </row>
    <row r="1565" spans="1:15" x14ac:dyDescent="0.25">
      <c r="A1565">
        <v>2372.42</v>
      </c>
      <c r="B1565" s="1">
        <v>0.1</v>
      </c>
      <c r="C1565" s="1">
        <v>3.0507811056337246</v>
      </c>
      <c r="D1565" s="1">
        <v>517.9</v>
      </c>
      <c r="E1565" s="1">
        <v>344.45696816476357</v>
      </c>
      <c r="F1565" s="1">
        <v>154.1144056200817</v>
      </c>
      <c r="G1565" s="1">
        <v>2082.5644291740045</v>
      </c>
      <c r="H1565" s="1">
        <v>2.8159999999999998E-2</v>
      </c>
      <c r="I1565" s="1">
        <v>134.01252662615801</v>
      </c>
      <c r="J1565" s="1">
        <v>17.222848408238178</v>
      </c>
      <c r="K1565" s="1">
        <v>9.3836158661006128E-2</v>
      </c>
      <c r="L1565" s="1">
        <v>90.163255732193463</v>
      </c>
      <c r="M1565" s="1">
        <v>305.07811056336323</v>
      </c>
      <c r="N1565" s="1">
        <v>-13.210181805571471</v>
      </c>
      <c r="O1565" s="1">
        <v>1.831854336401279E-6</v>
      </c>
    </row>
    <row r="1566" spans="1:15" x14ac:dyDescent="0.25">
      <c r="A1566">
        <v>2375.48</v>
      </c>
      <c r="B1566" s="1">
        <v>0.1</v>
      </c>
      <c r="C1566" s="1">
        <v>3.0562970789699051</v>
      </c>
      <c r="D1566" s="1">
        <v>518</v>
      </c>
      <c r="E1566" s="1">
        <v>345.31400282926671</v>
      </c>
      <c r="F1566" s="1">
        <v>154.49280833097606</v>
      </c>
      <c r="G1566" s="1">
        <v>2086.0175691632708</v>
      </c>
      <c r="H1566" s="1">
        <v>2.8159999999999998E-2</v>
      </c>
      <c r="I1566" s="1">
        <v>134.34157246171833</v>
      </c>
      <c r="J1566" s="1">
        <v>17.265700141463338</v>
      </c>
      <c r="K1566" s="1">
        <v>9.3820211253232491E-2</v>
      </c>
      <c r="L1566" s="1">
        <v>90.179339970310608</v>
      </c>
      <c r="M1566" s="1">
        <v>305.62970789696919</v>
      </c>
      <c r="N1566" s="1">
        <v>-13.213291805571471</v>
      </c>
      <c r="O1566" s="1">
        <v>1.8261661191776044E-6</v>
      </c>
    </row>
    <row r="1567" spans="1:15" x14ac:dyDescent="0.25">
      <c r="A1567">
        <v>2378.54</v>
      </c>
      <c r="B1567" s="1">
        <v>0.1</v>
      </c>
      <c r="C1567" s="1">
        <v>3.0618285428630281</v>
      </c>
      <c r="D1567" s="1">
        <v>518.1</v>
      </c>
      <c r="E1567" s="1">
        <v>346.17421858822439</v>
      </c>
      <c r="F1567" s="1">
        <v>154.87259476385236</v>
      </c>
      <c r="G1567" s="1">
        <v>2089.4793113098349</v>
      </c>
      <c r="H1567" s="1">
        <v>2.8159999999999998E-2</v>
      </c>
      <c r="I1567" s="1">
        <v>134.67182153378471</v>
      </c>
      <c r="J1567" s="1">
        <v>17.30871092941122</v>
      </c>
      <c r="K1567" s="1">
        <v>9.3804276761923225E-2</v>
      </c>
      <c r="L1567" s="1">
        <v>90.195416643370834</v>
      </c>
      <c r="M1567" s="1">
        <v>306.1828542863168</v>
      </c>
      <c r="N1567" s="1">
        <v>-13.21640180557147</v>
      </c>
      <c r="O1567" s="1">
        <v>1.8204955648294877E-6</v>
      </c>
    </row>
    <row r="1568" spans="1:15" x14ac:dyDescent="0.25">
      <c r="A1568">
        <v>2381.61</v>
      </c>
      <c r="B1568" s="1">
        <v>0.1</v>
      </c>
      <c r="C1568" s="1">
        <v>3.0673755622492784</v>
      </c>
      <c r="D1568" s="1">
        <v>518.20000000000005</v>
      </c>
      <c r="E1568" s="1">
        <v>347.03763169903203</v>
      </c>
      <c r="F1568" s="1">
        <v>155.25377188349032</v>
      </c>
      <c r="G1568" s="1">
        <v>2092.9496875872119</v>
      </c>
      <c r="H1568" s="1">
        <v>2.8159999999999998E-2</v>
      </c>
      <c r="I1568" s="1">
        <v>135.00327989868725</v>
      </c>
      <c r="J1568" s="1">
        <v>17.351881584951602</v>
      </c>
      <c r="K1568" s="1">
        <v>9.37883551725643E-2</v>
      </c>
      <c r="L1568" s="1">
        <v>90.211485755527065</v>
      </c>
      <c r="M1568" s="1">
        <v>306.73755622492536</v>
      </c>
      <c r="N1568" s="1">
        <v>-13.21951180557147</v>
      </c>
      <c r="O1568" s="1">
        <v>1.8148426185107157E-6</v>
      </c>
    </row>
    <row r="1569" spans="1:15" x14ac:dyDescent="0.25">
      <c r="A1569">
        <v>2384.6799999999998</v>
      </c>
      <c r="B1569" s="1">
        <v>0.1</v>
      </c>
      <c r="C1569" s="1">
        <v>3.0729382024360357</v>
      </c>
      <c r="D1569" s="1">
        <v>518.30000000000007</v>
      </c>
      <c r="E1569" s="1">
        <v>347.90425852599947</v>
      </c>
      <c r="F1569" s="1">
        <v>155.63634669969389</v>
      </c>
      <c r="G1569" s="1">
        <v>2096.4287301325603</v>
      </c>
      <c r="H1569" s="1">
        <v>2.8159999999999998E-2</v>
      </c>
      <c r="I1569" s="1">
        <v>135.33595365190774</v>
      </c>
      <c r="J1569" s="1">
        <v>17.395212926299973</v>
      </c>
      <c r="K1569" s="1">
        <v>9.3772446470640897E-2</v>
      </c>
      <c r="L1569" s="1">
        <v>90.227547310952005</v>
      </c>
      <c r="M1569" s="1">
        <v>307.29382024360348</v>
      </c>
      <c r="N1569" s="1">
        <v>-13.222621805571469</v>
      </c>
      <c r="O1569" s="1">
        <v>1.8092072255453823E-6</v>
      </c>
    </row>
    <row r="1570" spans="1:15" x14ac:dyDescent="0.25">
      <c r="A1570">
        <v>2387.7600000000002</v>
      </c>
      <c r="B1570" s="1">
        <v>0.1</v>
      </c>
      <c r="C1570" s="1">
        <v>3.0785165291040926</v>
      </c>
      <c r="D1570" s="1">
        <v>518.4</v>
      </c>
      <c r="E1570" s="1">
        <v>348.77411554068425</v>
      </c>
      <c r="F1570" s="1">
        <v>156.02032626763847</v>
      </c>
      <c r="G1570" s="1">
        <v>2099.9164712477555</v>
      </c>
      <c r="H1570" s="1">
        <v>2.8159999999999998E-2</v>
      </c>
      <c r="I1570" s="1">
        <v>135.6698489283813</v>
      </c>
      <c r="J1570" s="1">
        <v>17.438705777034212</v>
      </c>
      <c r="K1570" s="1">
        <v>9.3756550641639236E-2</v>
      </c>
      <c r="L1570" s="1">
        <v>90.243601313836393</v>
      </c>
      <c r="M1570" s="1">
        <v>307.85165291040357</v>
      </c>
      <c r="N1570" s="1">
        <v>-13.225731805571469</v>
      </c>
      <c r="O1570" s="1">
        <v>1.8035893314273594E-6</v>
      </c>
    </row>
    <row r="1571" spans="1:15" x14ac:dyDescent="0.25">
      <c r="A1571">
        <v>2390.85</v>
      </c>
      <c r="B1571" s="1">
        <v>0.1</v>
      </c>
      <c r="C1571" s="1">
        <v>3.0841106083109375</v>
      </c>
      <c r="D1571" s="1">
        <v>518.5</v>
      </c>
      <c r="E1571" s="1">
        <v>349.64721932342349</v>
      </c>
      <c r="F1571" s="1">
        <v>156.40571768823935</v>
      </c>
      <c r="G1571" s="1">
        <v>2103.4129434004763</v>
      </c>
      <c r="H1571" s="1">
        <v>2.8159999999999998E-2</v>
      </c>
      <c r="I1571" s="1">
        <v>136.00497190281683</v>
      </c>
      <c r="J1571" s="1">
        <v>17.482360966171175</v>
      </c>
      <c r="K1571" s="1">
        <v>9.3740667671044109E-2</v>
      </c>
      <c r="L1571" s="1">
        <v>90.259647768391346</v>
      </c>
      <c r="M1571" s="1">
        <v>308.41106083107661</v>
      </c>
      <c r="N1571" s="1">
        <v>-13.228841805571472</v>
      </c>
      <c r="O1571" s="1">
        <v>1.7979888818197629E-6</v>
      </c>
    </row>
    <row r="1572" spans="1:15" x14ac:dyDescent="0.25">
      <c r="A1572">
        <v>2393.94</v>
      </c>
      <c r="B1572" s="1">
        <v>0.1</v>
      </c>
      <c r="C1572" s="1">
        <v>3.0897205064930833</v>
      </c>
      <c r="D1572" s="1">
        <v>518.6</v>
      </c>
      <c r="E1572" s="1">
        <v>350.52358656380011</v>
      </c>
      <c r="F1572" s="1">
        <v>156.79252810851037</v>
      </c>
      <c r="G1572" s="1">
        <v>2106.9181792252944</v>
      </c>
      <c r="H1572" s="1">
        <v>2.8159999999999998E-2</v>
      </c>
      <c r="I1572" s="1">
        <v>136.34132879000907</v>
      </c>
      <c r="J1572" s="1">
        <v>17.526179328190008</v>
      </c>
      <c r="K1572" s="1">
        <v>9.3724797544340294E-2</v>
      </c>
      <c r="L1572" s="1">
        <v>90.275686678847052</v>
      </c>
      <c r="M1572" s="1">
        <v>308.97205064929949</v>
      </c>
      <c r="N1572" s="1">
        <v>-13.231951805571471</v>
      </c>
      <c r="O1572" s="1">
        <v>1.7924058225544535E-6</v>
      </c>
    </row>
    <row r="1573" spans="1:15" x14ac:dyDescent="0.25">
      <c r="A1573">
        <v>2397.0300000000002</v>
      </c>
      <c r="B1573" s="1">
        <v>0.1</v>
      </c>
      <c r="C1573" s="1">
        <v>3.0953462904688069</v>
      </c>
      <c r="D1573" s="1">
        <v>518.70000000000005</v>
      </c>
      <c r="E1573" s="1">
        <v>351.40323406124276</v>
      </c>
      <c r="F1573" s="1">
        <v>157.1807647219257</v>
      </c>
      <c r="G1573" s="1">
        <v>2110.4322115247769</v>
      </c>
      <c r="H1573" s="1">
        <v>2.8159999999999998E-2</v>
      </c>
      <c r="I1573" s="1">
        <v>136.67892584515283</v>
      </c>
      <c r="J1573" s="1">
        <v>17.570161703062137</v>
      </c>
      <c r="K1573" s="1">
        <v>9.3708940247013414E-2</v>
      </c>
      <c r="L1573" s="1">
        <v>90.291718049451845</v>
      </c>
      <c r="M1573" s="1">
        <v>309.53462904690241</v>
      </c>
      <c r="N1573" s="1">
        <v>-13.235061805571471</v>
      </c>
      <c r="O1573" s="1">
        <v>1.7868400996314737E-6</v>
      </c>
    </row>
    <row r="1574" spans="1:15" x14ac:dyDescent="0.25">
      <c r="A1574">
        <v>2400.13</v>
      </c>
      <c r="B1574" s="1">
        <v>0.1</v>
      </c>
      <c r="C1574" s="1">
        <v>3.100988027441562</v>
      </c>
      <c r="D1574" s="1">
        <v>518.80000000000007</v>
      </c>
      <c r="E1574" s="1">
        <v>352.2861787263576</v>
      </c>
      <c r="F1574" s="1">
        <v>157.57043476880418</v>
      </c>
      <c r="G1574" s="1">
        <v>2113.9550732706007</v>
      </c>
      <c r="H1574" s="1">
        <v>2.8159999999999998E-2</v>
      </c>
      <c r="I1574" s="1">
        <v>137.01776936417758</v>
      </c>
      <c r="J1574" s="1">
        <v>17.61430893631788</v>
      </c>
      <c r="K1574" s="1">
        <v>9.3693095764548331E-2</v>
      </c>
      <c r="L1574" s="1">
        <v>90.307741884473842</v>
      </c>
      <c r="M1574" s="1">
        <v>310.09880274414172</v>
      </c>
      <c r="N1574" s="1">
        <v>-13.23817180557147</v>
      </c>
      <c r="O1574" s="1">
        <v>1.7812916592185511E-6</v>
      </c>
    </row>
    <row r="1575" spans="1:15" x14ac:dyDescent="0.25">
      <c r="A1575">
        <v>2403.2399999999998</v>
      </c>
      <c r="B1575" s="1">
        <v>0.1</v>
      </c>
      <c r="C1575" s="1">
        <v>3.1066457850021139</v>
      </c>
      <c r="D1575" s="1">
        <v>518.9</v>
      </c>
      <c r="E1575" s="1">
        <v>353.17243758239414</v>
      </c>
      <c r="F1575" s="1">
        <v>157.961545536675</v>
      </c>
      <c r="G1575" s="1">
        <v>2117.4867976046703</v>
      </c>
      <c r="H1575" s="1">
        <v>2.8159999999999998E-2</v>
      </c>
      <c r="I1575" s="1">
        <v>137.35786568406525</v>
      </c>
      <c r="J1575" s="1">
        <v>17.658621879119707</v>
      </c>
      <c r="K1575" s="1">
        <v>9.3677264082427283E-2</v>
      </c>
      <c r="L1575" s="1">
        <v>90.323758188202831</v>
      </c>
      <c r="M1575" s="1">
        <v>310.66457850020015</v>
      </c>
      <c r="N1575" s="1">
        <v>-13.24128180557147</v>
      </c>
      <c r="O1575" s="1">
        <v>1.7757604476505723E-6</v>
      </c>
    </row>
    <row r="1576" spans="1:15" x14ac:dyDescent="0.25">
      <c r="A1576">
        <v>2406.35</v>
      </c>
      <c r="B1576" s="1">
        <v>0.1</v>
      </c>
      <c r="C1576" s="1">
        <v>3.1123196311313963</v>
      </c>
      <c r="D1576" s="1">
        <v>519</v>
      </c>
      <c r="E1576" s="1">
        <v>354.06202776437914</v>
      </c>
      <c r="F1576" s="1">
        <v>158.35410436064879</v>
      </c>
      <c r="G1576" s="1">
        <v>2121.0274178402428</v>
      </c>
      <c r="H1576" s="1">
        <v>2.8159999999999998E-2</v>
      </c>
      <c r="I1576" s="1">
        <v>137.69922118317291</v>
      </c>
      <c r="J1576" s="1">
        <v>17.703101388218958</v>
      </c>
      <c r="K1576" s="1">
        <v>9.3661445186135547E-2</v>
      </c>
      <c r="L1576" s="1">
        <v>90.339766964944488</v>
      </c>
      <c r="M1576" s="1">
        <v>311.23196311314132</v>
      </c>
      <c r="N1576" s="1">
        <v>-13.244391805571469</v>
      </c>
      <c r="O1576" s="1">
        <v>1.770246411429063E-6</v>
      </c>
    </row>
    <row r="1577" spans="1:15" x14ac:dyDescent="0.25">
      <c r="A1577">
        <v>2409.4699999999998</v>
      </c>
      <c r="B1577" s="1">
        <v>0.1</v>
      </c>
      <c r="C1577" s="1">
        <v>3.1180096342038848</v>
      </c>
      <c r="D1577" s="1">
        <v>519.1</v>
      </c>
      <c r="E1577" s="1">
        <v>354.95496652211409</v>
      </c>
      <c r="F1577" s="1">
        <v>158.74811862380781</v>
      </c>
      <c r="G1577" s="1">
        <v>2124.5769674630719</v>
      </c>
      <c r="H1577" s="1">
        <v>2.8159999999999998E-2</v>
      </c>
      <c r="I1577" s="1">
        <v>138.04184228157203</v>
      </c>
      <c r="J1577" s="1">
        <v>17.747748326105704</v>
      </c>
      <c r="K1577" s="1">
        <v>9.3645639061154723E-2</v>
      </c>
      <c r="L1577" s="1">
        <v>90.355768219027254</v>
      </c>
      <c r="M1577" s="1">
        <v>311.80096342040997</v>
      </c>
      <c r="N1577" s="1">
        <v>-13.247501805571469</v>
      </c>
      <c r="O1577" s="1">
        <v>1.7647494972216699E-6</v>
      </c>
    </row>
    <row r="1578" spans="1:15" x14ac:dyDescent="0.25">
      <c r="A1578">
        <v>2412.59</v>
      </c>
      <c r="B1578" s="1">
        <v>0.1</v>
      </c>
      <c r="C1578" s="1">
        <v>3.1237158629901782</v>
      </c>
      <c r="D1578" s="1">
        <v>519.20000000000005</v>
      </c>
      <c r="E1578" s="1">
        <v>355.85127121944282</v>
      </c>
      <c r="F1578" s="1">
        <v>159.14359575758931</v>
      </c>
      <c r="G1578" s="1">
        <v>2128.1354801325519</v>
      </c>
      <c r="H1578" s="1">
        <v>2.8159999999999998E-2</v>
      </c>
      <c r="I1578" s="1">
        <v>138.38573544138205</v>
      </c>
      <c r="J1578" s="1">
        <v>17.792563560972141</v>
      </c>
      <c r="K1578" s="1">
        <v>9.3629845692967881E-2</v>
      </c>
      <c r="L1578" s="1">
        <v>90.371761954797094</v>
      </c>
      <c r="M1578" s="1">
        <v>312.37158629901387</v>
      </c>
      <c r="N1578" s="1">
        <v>-13.250611805571472</v>
      </c>
      <c r="O1578" s="1">
        <v>1.7592696518616402E-6</v>
      </c>
    </row>
    <row r="1579" spans="1:15" x14ac:dyDescent="0.25">
      <c r="A1579">
        <v>2415.7199999999998</v>
      </c>
      <c r="B1579" s="1">
        <v>0.1</v>
      </c>
      <c r="C1579" s="1">
        <v>3.1294383866599116</v>
      </c>
      <c r="D1579" s="1">
        <v>519.30000000000007</v>
      </c>
      <c r="E1579" s="1">
        <v>356.75095933644928</v>
      </c>
      <c r="F1579" s="1">
        <v>159.54054324217293</v>
      </c>
      <c r="G1579" s="1">
        <v>2131.7029896828753</v>
      </c>
      <c r="H1579" s="1">
        <v>2.8159999999999998E-2</v>
      </c>
      <c r="I1579" s="1">
        <v>138.73090716710692</v>
      </c>
      <c r="J1579" s="1">
        <v>17.837547966822466</v>
      </c>
      <c r="K1579" s="1">
        <v>9.3614065067055524E-2</v>
      </c>
      <c r="L1579" s="1">
        <v>90.387748176621571</v>
      </c>
      <c r="M1579" s="1">
        <v>312.94383866597855</v>
      </c>
      <c r="N1579" s="1">
        <v>-13.253721805571471</v>
      </c>
      <c r="O1579" s="1">
        <v>1.7538068223473314E-6</v>
      </c>
    </row>
    <row r="1580" spans="1:15" x14ac:dyDescent="0.25">
      <c r="A1580">
        <v>2418.86</v>
      </c>
      <c r="B1580" s="1">
        <v>0.1</v>
      </c>
      <c r="C1580" s="1">
        <v>3.135177274784521</v>
      </c>
      <c r="D1580" s="1">
        <v>519.4</v>
      </c>
      <c r="E1580" s="1">
        <v>357.6540484692581</v>
      </c>
      <c r="F1580" s="1">
        <v>159.9389686068663</v>
      </c>
      <c r="G1580" s="1">
        <v>2135.2795301241986</v>
      </c>
      <c r="H1580" s="1">
        <v>2.8159999999999998E-2</v>
      </c>
      <c r="I1580" s="1">
        <v>139.07736400597074</v>
      </c>
      <c r="J1580" s="1">
        <v>17.882702423462906</v>
      </c>
      <c r="K1580" s="1">
        <v>9.3598297168899169E-2</v>
      </c>
      <c r="L1580" s="1">
        <v>90.403726888886212</v>
      </c>
      <c r="M1580" s="1">
        <v>313.51772747843825</v>
      </c>
      <c r="N1580" s="1">
        <v>-13.256831805571471</v>
      </c>
      <c r="O1580" s="1">
        <v>1.7483609558416617E-6</v>
      </c>
    </row>
    <row r="1581" spans="1:15" x14ac:dyDescent="0.25">
      <c r="A1581">
        <v>2422</v>
      </c>
      <c r="B1581" s="1">
        <v>0.1</v>
      </c>
      <c r="C1581" s="1">
        <v>3.1409325973407523</v>
      </c>
      <c r="D1581" s="1">
        <v>519.5</v>
      </c>
      <c r="E1581" s="1">
        <v>358.56055633203266</v>
      </c>
      <c r="F1581" s="1">
        <v>160.33887943051101</v>
      </c>
      <c r="G1581" s="1">
        <v>2138.8651356438163</v>
      </c>
      <c r="H1581" s="1">
        <v>2.8159999999999998E-2</v>
      </c>
      <c r="I1581" s="1">
        <v>139.42511254827048</v>
      </c>
      <c r="J1581" s="1">
        <v>17.928027816601634</v>
      </c>
      <c r="K1581" s="1">
        <v>9.3582541983977793E-2</v>
      </c>
      <c r="L1581" s="1">
        <v>90.419698095998129</v>
      </c>
      <c r="M1581" s="1">
        <v>314.09325973409068</v>
      </c>
      <c r="N1581" s="1">
        <v>-13.25994180557147</v>
      </c>
      <c r="O1581" s="1">
        <v>1.7429319996716226E-6</v>
      </c>
    </row>
    <row r="1582" spans="1:15" x14ac:dyDescent="0.25">
      <c r="A1582">
        <v>2425.14</v>
      </c>
      <c r="B1582" s="1">
        <v>0.1</v>
      </c>
      <c r="C1582" s="1">
        <v>3.1467044247131479</v>
      </c>
      <c r="D1582" s="1">
        <v>519.6</v>
      </c>
      <c r="E1582" s="1">
        <v>359.47050075724184</v>
      </c>
      <c r="F1582" s="1">
        <v>160.74028334187639</v>
      </c>
      <c r="G1582" s="1">
        <v>2142.459840607351</v>
      </c>
      <c r="H1582" s="1">
        <v>2.8159999999999998E-2</v>
      </c>
      <c r="I1582" s="1">
        <v>139.77415942771862</v>
      </c>
      <c r="J1582" s="1">
        <v>17.973525037862093</v>
      </c>
      <c r="K1582" s="1">
        <v>9.3566799497770275E-2</v>
      </c>
      <c r="L1582" s="1">
        <v>90.435661802383578</v>
      </c>
      <c r="M1582" s="1">
        <v>314.67044247133344</v>
      </c>
      <c r="N1582" s="1">
        <v>-13.26305180557147</v>
      </c>
      <c r="O1582" s="1">
        <v>1.7375199013277651E-6</v>
      </c>
    </row>
    <row r="1583" spans="1:15" x14ac:dyDescent="0.25">
      <c r="A1583">
        <v>2428.3000000000002</v>
      </c>
      <c r="B1583" s="1">
        <v>0.1</v>
      </c>
      <c r="C1583" s="1">
        <v>3.1524928276973343</v>
      </c>
      <c r="D1583" s="1">
        <v>519.70000000000005</v>
      </c>
      <c r="E1583" s="1">
        <v>360.3838996967923</v>
      </c>
      <c r="F1583" s="1">
        <v>161.14318802006517</v>
      </c>
      <c r="G1583" s="1">
        <v>2146.0636795599426</v>
      </c>
      <c r="H1583" s="1">
        <v>2.8159999999999998E-2</v>
      </c>
      <c r="I1583" s="1">
        <v>140.12451132179581</v>
      </c>
      <c r="J1583" s="1">
        <v>18.019194984839615</v>
      </c>
      <c r="K1583" s="1">
        <v>9.3551069695754427E-2</v>
      </c>
      <c r="L1583" s="1">
        <v>90.451618012488836</v>
      </c>
      <c r="M1583" s="1">
        <v>315.24928276971877</v>
      </c>
      <c r="N1583" s="1">
        <v>-13.266161805571468</v>
      </c>
      <c r="O1583" s="1">
        <v>1.7321246084636908E-6</v>
      </c>
    </row>
    <row r="1584" spans="1:15" x14ac:dyDescent="0.25">
      <c r="A1584">
        <v>2431.46</v>
      </c>
      <c r="B1584" s="1">
        <v>0.1</v>
      </c>
      <c r="C1584" s="1">
        <v>3.158297877502859</v>
      </c>
      <c r="D1584" s="1">
        <v>519.80000000000007</v>
      </c>
      <c r="E1584" s="1">
        <v>361.30077122322746</v>
      </c>
      <c r="F1584" s="1">
        <v>161.54760119491652</v>
      </c>
      <c r="G1584" s="1">
        <v>2149.6766872274584</v>
      </c>
      <c r="H1584" s="1">
        <v>2.8159999999999998E-2</v>
      </c>
      <c r="I1584" s="1">
        <v>140.47617495210133</v>
      </c>
      <c r="J1584" s="1">
        <v>18.065038561161373</v>
      </c>
      <c r="K1584" s="1">
        <v>9.3535352563406532E-2</v>
      </c>
      <c r="L1584" s="1">
        <v>90.46756673078076</v>
      </c>
      <c r="M1584" s="1">
        <v>315.82978775027186</v>
      </c>
      <c r="N1584" s="1">
        <v>-13.269271805571469</v>
      </c>
      <c r="O1584" s="1">
        <v>1.7267460688955448E-6</v>
      </c>
    </row>
    <row r="1585" spans="1:15" x14ac:dyDescent="0.25">
      <c r="A1585">
        <v>2434.62</v>
      </c>
      <c r="B1585" s="1">
        <v>0.1</v>
      </c>
      <c r="C1585" s="1">
        <v>3.1641196457565171</v>
      </c>
      <c r="D1585" s="1">
        <v>519.9</v>
      </c>
      <c r="E1585" s="1">
        <v>362.22113353066021</v>
      </c>
      <c r="F1585" s="1">
        <v>161.95353064742102</v>
      </c>
      <c r="G1585" s="1">
        <v>2153.2988985177021</v>
      </c>
      <c r="H1585" s="1">
        <v>2.8159999999999998E-2</v>
      </c>
      <c r="I1585" s="1">
        <v>140.82915708471398</v>
      </c>
      <c r="J1585" s="1">
        <v>18.111056676533011</v>
      </c>
      <c r="K1585" s="1">
        <v>9.3519648086201307E-2</v>
      </c>
      <c r="L1585" s="1">
        <v>90.483507961746781</v>
      </c>
      <c r="M1585" s="1">
        <v>316.41196457567276</v>
      </c>
      <c r="N1585" s="1">
        <v>-13.272381805571472</v>
      </c>
      <c r="O1585" s="1">
        <v>1.7213842306015074E-6</v>
      </c>
    </row>
    <row r="1586" spans="1:15" x14ac:dyDescent="0.25">
      <c r="A1586">
        <v>2437.79</v>
      </c>
      <c r="B1586" s="1">
        <v>0.1</v>
      </c>
      <c r="C1586" s="1">
        <v>3.169958204505213</v>
      </c>
      <c r="D1586" s="1">
        <v>520</v>
      </c>
      <c r="E1586" s="1">
        <v>363.14500493517255</v>
      </c>
      <c r="F1586" s="1">
        <v>162.36098421013162</v>
      </c>
      <c r="G1586" s="1">
        <v>2156.9303485216437</v>
      </c>
      <c r="H1586" s="1">
        <v>2.8159999999999998E-2</v>
      </c>
      <c r="I1586" s="1">
        <v>141.18346453054929</v>
      </c>
      <c r="J1586" s="1">
        <v>18.157250246758629</v>
      </c>
      <c r="K1586" s="1">
        <v>9.3503956249613843E-2</v>
      </c>
      <c r="L1586" s="1">
        <v>90.499441709893034</v>
      </c>
      <c r="M1586" s="1">
        <v>316.99582045052921</v>
      </c>
      <c r="N1586" s="1">
        <v>-13.275491805571471</v>
      </c>
      <c r="O1586" s="1">
        <v>1.7160390417213123E-6</v>
      </c>
    </row>
    <row r="1587" spans="1:15" x14ac:dyDescent="0.25">
      <c r="A1587">
        <v>2440.9699999999998</v>
      </c>
      <c r="B1587" s="1">
        <v>0.1</v>
      </c>
      <c r="C1587" s="1">
        <v>3.175813626219409</v>
      </c>
      <c r="D1587" s="1">
        <v>520.1</v>
      </c>
      <c r="E1587" s="1">
        <v>364.07240387694719</v>
      </c>
      <c r="F1587" s="1">
        <v>162.76996976758835</v>
      </c>
      <c r="G1587" s="1">
        <v>2160.5710725146514</v>
      </c>
      <c r="H1587" s="1">
        <v>2.8159999999999998E-2</v>
      </c>
      <c r="I1587" s="1">
        <v>141.53910414572903</v>
      </c>
      <c r="J1587" s="1">
        <v>18.20362019384736</v>
      </c>
      <c r="K1587" s="1">
        <v>9.3488277039115802E-2</v>
      </c>
      <c r="L1587" s="1">
        <v>90.515367979748049</v>
      </c>
      <c r="M1587" s="1">
        <v>317.58136262192238</v>
      </c>
      <c r="N1587" s="1">
        <v>-13.278601805571471</v>
      </c>
      <c r="O1587" s="1">
        <v>1.7107104505557106E-6</v>
      </c>
    </row>
    <row r="1588" spans="1:15" x14ac:dyDescent="0.25">
      <c r="A1588">
        <v>2444.15</v>
      </c>
      <c r="B1588" s="1">
        <v>0.1</v>
      </c>
      <c r="C1588" s="1">
        <v>3.1816859837960192</v>
      </c>
      <c r="D1588" s="1">
        <v>520.20000000000005</v>
      </c>
      <c r="E1588" s="1">
        <v>365.00334892026751</v>
      </c>
      <c r="F1588" s="1">
        <v>163.1804952567386</v>
      </c>
      <c r="G1588" s="1">
        <v>2164.2211059577376</v>
      </c>
      <c r="H1588" s="1">
        <v>2.8159999999999998E-2</v>
      </c>
      <c r="I1588" s="1">
        <v>141.89608283194664</v>
      </c>
      <c r="J1588" s="1">
        <v>18.250167446013375</v>
      </c>
      <c r="K1588" s="1">
        <v>9.3472610440178711E-2</v>
      </c>
      <c r="L1588" s="1">
        <v>90.531286775859556</v>
      </c>
      <c r="M1588" s="1">
        <v>318.16859837958873</v>
      </c>
      <c r="N1588" s="1">
        <v>-13.28171180557147</v>
      </c>
      <c r="O1588" s="1">
        <v>1.705398405565994E-6</v>
      </c>
    </row>
    <row r="1589" spans="1:15" x14ac:dyDescent="0.25">
      <c r="A1589">
        <v>2447.33</v>
      </c>
      <c r="B1589" s="1">
        <v>0.1</v>
      </c>
      <c r="C1589" s="1">
        <v>3.1875753505618052</v>
      </c>
      <c r="D1589" s="1">
        <v>520.30000000000007</v>
      </c>
      <c r="E1589" s="1">
        <v>365.93785875531637</v>
      </c>
      <c r="F1589" s="1">
        <v>163.5925686673678</v>
      </c>
      <c r="G1589" s="1">
        <v>2167.8804844988158</v>
      </c>
      <c r="H1589" s="1">
        <v>2.8159999999999998E-2</v>
      </c>
      <c r="I1589" s="1">
        <v>142.2544075368416</v>
      </c>
      <c r="J1589" s="1">
        <v>18.296892937765818</v>
      </c>
      <c r="K1589" s="1">
        <v>9.3456956438271385E-2</v>
      </c>
      <c r="L1589" s="1">
        <v>90.547198102796983</v>
      </c>
      <c r="M1589" s="1">
        <v>318.75753505619286</v>
      </c>
      <c r="N1589" s="1">
        <v>-13.284821805571468</v>
      </c>
      <c r="O1589" s="1">
        <v>1.700102855373491E-6</v>
      </c>
    </row>
    <row r="1590" spans="1:15" x14ac:dyDescent="0.25">
      <c r="A1590">
        <v>2450.5300000000002</v>
      </c>
      <c r="B1590" s="1">
        <v>0.1</v>
      </c>
      <c r="C1590" s="1">
        <v>3.1934818002758978</v>
      </c>
      <c r="D1590" s="1">
        <v>520.4</v>
      </c>
      <c r="E1590" s="1">
        <v>366.87595219824232</v>
      </c>
      <c r="F1590" s="1">
        <v>164.00619804251275</v>
      </c>
      <c r="G1590" s="1">
        <v>2171.549243973961</v>
      </c>
      <c r="H1590" s="1">
        <v>2.8159999999999998E-2</v>
      </c>
      <c r="I1590" s="1">
        <v>142.61408525435897</v>
      </c>
      <c r="J1590" s="1">
        <v>18.343797609912116</v>
      </c>
      <c r="K1590" s="1">
        <v>9.344131501886295E-2</v>
      </c>
      <c r="L1590" s="1">
        <v>90.563101965148505</v>
      </c>
      <c r="M1590" s="1">
        <v>319.34818002760039</v>
      </c>
      <c r="N1590" s="1">
        <v>-13.287931805571469</v>
      </c>
      <c r="O1590" s="1">
        <v>1.6948237487590686E-6</v>
      </c>
    </row>
    <row r="1591" spans="1:15" x14ac:dyDescent="0.25">
      <c r="A1591">
        <v>2453.73</v>
      </c>
      <c r="B1591" s="1">
        <v>0.1</v>
      </c>
      <c r="C1591" s="1">
        <v>3.1994054071345945</v>
      </c>
      <c r="D1591" s="1">
        <v>520.5</v>
      </c>
      <c r="E1591" s="1">
        <v>367.81764819342476</v>
      </c>
      <c r="F1591" s="1">
        <v>164.42139147892797</v>
      </c>
      <c r="G1591" s="1">
        <v>2175.2274204086934</v>
      </c>
      <c r="H1591" s="1">
        <v>2.8159999999999998E-2</v>
      </c>
      <c r="I1591" s="1">
        <v>142.97512302515477</v>
      </c>
      <c r="J1591" s="1">
        <v>18.390882409671239</v>
      </c>
      <c r="K1591" s="1">
        <v>9.3425686167418961E-2</v>
      </c>
      <c r="L1591" s="1">
        <v>90.578998367524932</v>
      </c>
      <c r="M1591" s="1">
        <v>319.94054071346909</v>
      </c>
      <c r="N1591" s="1">
        <v>-13.291041805571467</v>
      </c>
      <c r="O1591" s="1">
        <v>1.6895610346626398E-6</v>
      </c>
    </row>
    <row r="1592" spans="1:15" x14ac:dyDescent="0.25">
      <c r="A1592">
        <v>2456.9299999999998</v>
      </c>
      <c r="B1592" s="1">
        <v>0.1</v>
      </c>
      <c r="C1592" s="1">
        <v>3.2053462457730535</v>
      </c>
      <c r="D1592" s="1">
        <v>520.6</v>
      </c>
      <c r="E1592" s="1">
        <v>368.76296581374038</v>
      </c>
      <c r="F1592" s="1">
        <v>164.83815712750442</v>
      </c>
      <c r="G1592" s="1">
        <v>2178.9150500192618</v>
      </c>
      <c r="H1592" s="1">
        <v>2.8159999999999998E-2</v>
      </c>
      <c r="I1592" s="1">
        <v>143.33752793696036</v>
      </c>
      <c r="J1592" s="1">
        <v>18.438148290687021</v>
      </c>
      <c r="K1592" s="1">
        <v>9.34100698694037E-2</v>
      </c>
      <c r="L1592" s="1">
        <v>90.594887314557297</v>
      </c>
      <c r="M1592" s="1">
        <v>320.53462457729438</v>
      </c>
      <c r="N1592" s="1">
        <v>-13.29415180557147</v>
      </c>
      <c r="O1592" s="1">
        <v>1.6843146621826594E-6</v>
      </c>
    </row>
    <row r="1593" spans="1:15" x14ac:dyDescent="0.25">
      <c r="A1593">
        <v>2460.14</v>
      </c>
      <c r="B1593" s="1">
        <v>0.1</v>
      </c>
      <c r="C1593" s="1">
        <v>3.2113043912691333</v>
      </c>
      <c r="D1593" s="1">
        <v>520.70000000000005</v>
      </c>
      <c r="E1593" s="1">
        <v>369.71192426176191</v>
      </c>
      <c r="F1593" s="1">
        <v>165.25650319371161</v>
      </c>
      <c r="G1593" s="1">
        <v>2182.6121692139372</v>
      </c>
      <c r="H1593" s="1">
        <v>2.8159999999999998E-2</v>
      </c>
      <c r="I1593" s="1">
        <v>143.70130712496666</v>
      </c>
      <c r="J1593" s="1">
        <v>18.485596213088098</v>
      </c>
      <c r="K1593" s="1">
        <v>9.3394466110279933E-2</v>
      </c>
      <c r="L1593" s="1">
        <v>90.610768810897312</v>
      </c>
      <c r="M1593" s="1">
        <v>321.13043912690955</v>
      </c>
      <c r="N1593" s="1">
        <v>-13.297261805571472</v>
      </c>
      <c r="O1593" s="1">
        <v>1.6790845805756596E-6</v>
      </c>
    </row>
    <row r="1594" spans="1:15" x14ac:dyDescent="0.25">
      <c r="A1594">
        <v>2463.36</v>
      </c>
      <c r="B1594" s="1">
        <v>0.1</v>
      </c>
      <c r="C1594" s="1">
        <v>3.2172799191471269</v>
      </c>
      <c r="D1594" s="1">
        <v>520.80000000000007</v>
      </c>
      <c r="E1594" s="1">
        <v>370.66454287082439</v>
      </c>
      <c r="F1594" s="1">
        <v>165.67643793805564</v>
      </c>
      <c r="G1594" s="1">
        <v>2186.3188145943291</v>
      </c>
      <c r="H1594" s="1">
        <v>2.8159999999999998E-2</v>
      </c>
      <c r="I1594" s="1">
        <v>144.0664677722223</v>
      </c>
      <c r="J1594" s="1">
        <v>18.533227143541222</v>
      </c>
      <c r="K1594" s="1">
        <v>9.3378874875508569E-2</v>
      </c>
      <c r="L1594" s="1">
        <v>90.626642861217476</v>
      </c>
      <c r="M1594" s="1">
        <v>321.72799191471313</v>
      </c>
      <c r="N1594" s="1">
        <v>-13.300371805571471</v>
      </c>
      <c r="O1594" s="1">
        <v>1.6738707392557216E-6</v>
      </c>
    </row>
    <row r="1595" spans="1:15" x14ac:dyDescent="0.25">
      <c r="A1595">
        <v>2466.58</v>
      </c>
      <c r="B1595" s="1">
        <v>0.1</v>
      </c>
      <c r="C1595" s="1">
        <v>3.2232729053808638</v>
      </c>
      <c r="D1595" s="1">
        <v>520.9</v>
      </c>
      <c r="E1595" s="1">
        <v>371.6208411065569</v>
      </c>
      <c r="F1595" s="1">
        <v>166.09796967653224</v>
      </c>
      <c r="G1595" s="1">
        <v>2190.0350229566989</v>
      </c>
      <c r="H1595" s="1">
        <v>2.8159999999999998E-2</v>
      </c>
      <c r="I1595" s="1">
        <v>144.43301711002806</v>
      </c>
      <c r="J1595" s="1">
        <v>18.581042055327845</v>
      </c>
      <c r="K1595" s="1">
        <v>9.3363296150547462E-2</v>
      </c>
      <c r="L1595" s="1">
        <v>90.642509470212417</v>
      </c>
      <c r="M1595" s="1">
        <v>322.32729053807816</v>
      </c>
      <c r="N1595" s="1">
        <v>-13.303481805571471</v>
      </c>
      <c r="O1595" s="1">
        <v>1.6686730877940098E-6</v>
      </c>
    </row>
    <row r="1596" spans="1:15" x14ac:dyDescent="0.25">
      <c r="A1596">
        <v>2469.81</v>
      </c>
      <c r="B1596" s="1">
        <v>0.1</v>
      </c>
      <c r="C1596" s="1">
        <v>3.2292834263967354</v>
      </c>
      <c r="D1596" s="1">
        <v>521</v>
      </c>
      <c r="E1596" s="1">
        <v>372.58083856721578</v>
      </c>
      <c r="F1596" s="1">
        <v>166.52110678107343</v>
      </c>
      <c r="G1596" s="1">
        <v>2193.7608312932925</v>
      </c>
      <c r="H1596" s="1">
        <v>2.8159999999999998E-2</v>
      </c>
      <c r="I1596" s="1">
        <v>144.80096241832476</v>
      </c>
      <c r="J1596" s="1">
        <v>18.629041928360788</v>
      </c>
      <c r="K1596" s="1">
        <v>9.3347729920853634E-2</v>
      </c>
      <c r="L1596" s="1">
        <v>90.658368642596699</v>
      </c>
      <c r="M1596" s="1">
        <v>322.92834263967052</v>
      </c>
      <c r="N1596" s="1">
        <v>-13.30659180557147</v>
      </c>
      <c r="O1596" s="1">
        <v>1.6634915759182789E-6</v>
      </c>
    </row>
    <row r="1597" spans="1:15" x14ac:dyDescent="0.25">
      <c r="A1597">
        <v>2473.0500000000002</v>
      </c>
      <c r="B1597" s="1">
        <v>0.1</v>
      </c>
      <c r="C1597" s="1">
        <v>3.2353115590777124</v>
      </c>
      <c r="D1597" s="1">
        <v>521.1</v>
      </c>
      <c r="E1597" s="1">
        <v>373.54455498534998</v>
      </c>
      <c r="F1597" s="1">
        <v>166.94585768001687</v>
      </c>
      <c r="G1597" s="1">
        <v>2197.4962767936809</v>
      </c>
      <c r="H1597" s="1">
        <v>2.8159999999999998E-2</v>
      </c>
      <c r="I1597" s="1">
        <v>145.17031102610161</v>
      </c>
      <c r="J1597" s="1">
        <v>18.677227749267498</v>
      </c>
      <c r="K1597" s="1">
        <v>9.3332176171881429E-2</v>
      </c>
      <c r="L1597" s="1">
        <v>90.67422038310653</v>
      </c>
      <c r="M1597" s="1">
        <v>323.53115590776724</v>
      </c>
      <c r="N1597" s="1">
        <v>-13.30970180557147</v>
      </c>
      <c r="O1597" s="1">
        <v>1.6583261535123878E-6</v>
      </c>
    </row>
    <row r="1598" spans="1:15" x14ac:dyDescent="0.25">
      <c r="A1598">
        <v>2476.29</v>
      </c>
      <c r="B1598" s="1">
        <v>0.1</v>
      </c>
      <c r="C1598" s="1">
        <v>3.2413573807666616</v>
      </c>
      <c r="D1598" s="1">
        <v>521.20000000000005</v>
      </c>
      <c r="E1598" s="1">
        <v>374.51201022893343</v>
      </c>
      <c r="F1598" s="1">
        <v>167.37223085857465</v>
      </c>
      <c r="G1598" s="1">
        <v>2201.241396846116</v>
      </c>
      <c r="H1598" s="1">
        <v>2.8159999999999998E-2</v>
      </c>
      <c r="I1598" s="1">
        <v>145.54107031180408</v>
      </c>
      <c r="J1598" s="1">
        <v>18.725600511446672</v>
      </c>
      <c r="K1598" s="1">
        <v>9.331663488908247E-2</v>
      </c>
      <c r="L1598" s="1">
        <v>90.690064696499931</v>
      </c>
      <c r="M1598" s="1">
        <v>324.1357380766658</v>
      </c>
      <c r="N1598" s="1">
        <v>-13.312811805571469</v>
      </c>
      <c r="O1598" s="1">
        <v>1.6531767706158143E-6</v>
      </c>
    </row>
    <row r="1599" spans="1:15" x14ac:dyDescent="0.25">
      <c r="A1599">
        <v>2479.54</v>
      </c>
      <c r="B1599" s="1">
        <v>0.1</v>
      </c>
      <c r="C1599" s="1">
        <v>3.2474209692695961</v>
      </c>
      <c r="D1599" s="1">
        <v>521.30000000000007</v>
      </c>
      <c r="E1599" s="1">
        <v>375.48322430223101</v>
      </c>
      <c r="F1599" s="1">
        <v>167.80023485929885</v>
      </c>
      <c r="G1599" s="1">
        <v>2204.9962290388899</v>
      </c>
      <c r="H1599" s="1">
        <v>2.8159999999999998E-2</v>
      </c>
      <c r="I1599" s="1">
        <v>145.91324770373816</v>
      </c>
      <c r="J1599" s="1">
        <v>18.774161215111551</v>
      </c>
      <c r="K1599" s="1">
        <v>9.3301106057906438E-2</v>
      </c>
      <c r="L1599" s="1">
        <v>90.705901587555942</v>
      </c>
      <c r="M1599" s="1">
        <v>324.74209692695695</v>
      </c>
      <c r="N1599" s="1">
        <v>-13.31592180557147</v>
      </c>
      <c r="O1599" s="1">
        <v>1.6480433774231659E-6</v>
      </c>
    </row>
    <row r="1600" spans="1:15" x14ac:dyDescent="0.25">
      <c r="A1600">
        <v>2482.79</v>
      </c>
      <c r="B1600" s="1">
        <v>0.1</v>
      </c>
      <c r="C1600" s="1">
        <v>3.2535024028592581</v>
      </c>
      <c r="D1600" s="1">
        <v>521.4</v>
      </c>
      <c r="E1600" s="1">
        <v>376.45821734719755</v>
      </c>
      <c r="F1600" s="1">
        <v>168.22987828255395</v>
      </c>
      <c r="G1600" s="1">
        <v>2208.7608111617155</v>
      </c>
      <c r="H1600" s="1">
        <v>2.8159999999999998E-2</v>
      </c>
      <c r="I1600" s="1">
        <v>146.28685068048171</v>
      </c>
      <c r="J1600" s="1">
        <v>18.822910867359877</v>
      </c>
      <c r="K1600" s="1">
        <v>9.3285589663800156E-2</v>
      </c>
      <c r="L1600" s="1">
        <v>90.721731061075502</v>
      </c>
      <c r="M1600" s="1">
        <v>325.35024028593398</v>
      </c>
      <c r="N1600" s="1">
        <v>-13.319031805571472</v>
      </c>
      <c r="O1600" s="1">
        <v>1.6429259242837213E-6</v>
      </c>
    </row>
    <row r="1601" spans="1:15" x14ac:dyDescent="0.25">
      <c r="A1601">
        <v>2486.0500000000002</v>
      </c>
      <c r="B1601" s="1">
        <v>0.1</v>
      </c>
      <c r="C1601" s="1">
        <v>3.2596017602790526</v>
      </c>
      <c r="D1601" s="1">
        <v>521.5</v>
      </c>
      <c r="E1601" s="1">
        <v>377.43700964427694</v>
      </c>
      <c r="F1601" s="1">
        <v>168.66116978700543</v>
      </c>
      <c r="G1601" s="1">
        <v>2212.5351812071112</v>
      </c>
      <c r="H1601" s="1">
        <v>2.8159999999999998E-2</v>
      </c>
      <c r="I1601" s="1">
        <v>146.6618867713091</v>
      </c>
      <c r="J1601" s="1">
        <v>18.871850482213848</v>
      </c>
      <c r="K1601" s="1">
        <v>9.327008569220864E-2</v>
      </c>
      <c r="L1601" s="1">
        <v>90.737553121880453</v>
      </c>
      <c r="M1601" s="1">
        <v>325.96017602791107</v>
      </c>
      <c r="N1601" s="1">
        <v>-13.322141805571471</v>
      </c>
      <c r="O1601" s="1">
        <v>1.6378243617009174E-6</v>
      </c>
    </row>
    <row r="1602" spans="1:15" x14ac:dyDescent="0.25">
      <c r="A1602">
        <v>2489.3200000000002</v>
      </c>
      <c r="B1602" s="1">
        <v>0.1</v>
      </c>
      <c r="C1602" s="1">
        <v>3.2657191207460312</v>
      </c>
      <c r="D1602" s="1">
        <v>521.6</v>
      </c>
      <c r="E1602" s="1">
        <v>378.41962161393462</v>
      </c>
      <c r="F1602" s="1">
        <v>169.09411809009376</v>
      </c>
      <c r="G1602" s="1">
        <v>2216.3193773717985</v>
      </c>
      <c r="H1602" s="1">
        <v>2.8159999999999998E-2</v>
      </c>
      <c r="I1602" s="1">
        <v>147.03836355660331</v>
      </c>
      <c r="J1602" s="1">
        <v>18.92098108069673</v>
      </c>
      <c r="K1602" s="1">
        <v>9.325459412857387E-2</v>
      </c>
      <c r="L1602" s="1">
        <v>90.753367774814649</v>
      </c>
      <c r="M1602" s="1">
        <v>326.57191207458709</v>
      </c>
      <c r="N1602" s="1">
        <v>-13.325251805571471</v>
      </c>
      <c r="O1602" s="1">
        <v>1.6327386403318904E-6</v>
      </c>
    </row>
    <row r="1603" spans="1:15" x14ac:dyDescent="0.25">
      <c r="A1603">
        <v>2492.59</v>
      </c>
      <c r="B1603" s="1">
        <v>0.1</v>
      </c>
      <c r="C1603" s="1">
        <v>3.2718545639551824</v>
      </c>
      <c r="D1603" s="1">
        <v>521.70000000000005</v>
      </c>
      <c r="E1603" s="1">
        <v>379.40607381785617</v>
      </c>
      <c r="F1603" s="1">
        <v>169.5287319685342</v>
      </c>
      <c r="G1603" s="1">
        <v>2220.1134380581157</v>
      </c>
      <c r="H1603" s="1">
        <v>2.8159999999999998E-2</v>
      </c>
      <c r="I1603" s="1">
        <v>147.41628866829066</v>
      </c>
      <c r="J1603" s="1">
        <v>18.970303690892809</v>
      </c>
      <c r="K1603" s="1">
        <v>9.3239114958334701E-2</v>
      </c>
      <c r="L1603" s="1">
        <v>90.769175024744229</v>
      </c>
      <c r="M1603" s="1">
        <v>327.1854563955003</v>
      </c>
      <c r="N1603" s="1">
        <v>-13.32836180557147</v>
      </c>
      <c r="O1603" s="1">
        <v>1.6276687109869951E-6</v>
      </c>
    </row>
    <row r="1604" spans="1:15" x14ac:dyDescent="0.25">
      <c r="A1604">
        <v>2495.87</v>
      </c>
      <c r="B1604" s="1">
        <v>0.1</v>
      </c>
      <c r="C1604" s="1">
        <v>3.2780081700826185</v>
      </c>
      <c r="D1604" s="1">
        <v>521.80000000000007</v>
      </c>
      <c r="E1604" s="1">
        <v>380.39638695988032</v>
      </c>
      <c r="F1604" s="1">
        <v>169.96502025880602</v>
      </c>
      <c r="G1604" s="1">
        <v>2223.9174018754402</v>
      </c>
      <c r="H1604" s="1">
        <v>2.8159999999999998E-2</v>
      </c>
      <c r="I1604" s="1">
        <v>147.79566979026615</v>
      </c>
      <c r="J1604" s="1">
        <v>19.019819347994016</v>
      </c>
      <c r="K1604" s="1">
        <v>9.3223648166927589E-2</v>
      </c>
      <c r="L1604" s="1">
        <v>90.784974876556817</v>
      </c>
      <c r="M1604" s="1">
        <v>327.80081700825576</v>
      </c>
      <c r="N1604" s="1">
        <v>-13.33147180557147</v>
      </c>
      <c r="O1604" s="1">
        <v>1.6226145246293282E-6</v>
      </c>
    </row>
    <row r="1605" spans="1:15" x14ac:dyDescent="0.25">
      <c r="A1605">
        <v>2499.15</v>
      </c>
      <c r="B1605" s="1">
        <v>0.1</v>
      </c>
      <c r="C1605" s="1">
        <v>3.2841800197895803</v>
      </c>
      <c r="D1605" s="1">
        <v>521.9</v>
      </c>
      <c r="E1605" s="1">
        <v>381.39058188746412</v>
      </c>
      <c r="F1605" s="1">
        <v>170.40299185765667</v>
      </c>
      <c r="G1605" s="1">
        <v>2227.7313076416235</v>
      </c>
      <c r="H1605" s="1">
        <v>2.8159999999999998E-2</v>
      </c>
      <c r="I1605" s="1">
        <v>148.17651465883191</v>
      </c>
      <c r="J1605" s="1">
        <v>19.069529094373205</v>
      </c>
      <c r="K1605" s="1">
        <v>9.3208193739785658E-2</v>
      </c>
      <c r="L1605" s="1">
        <v>90.800767335162419</v>
      </c>
      <c r="M1605" s="1">
        <v>328.4180019789801</v>
      </c>
      <c r="N1605" s="1">
        <v>-13.334581805571469</v>
      </c>
      <c r="O1605" s="1">
        <v>1.6175760323742544E-6</v>
      </c>
    </row>
    <row r="1606" spans="1:15" x14ac:dyDescent="0.25">
      <c r="A1606">
        <v>2502.44</v>
      </c>
      <c r="B1606" s="1">
        <v>0.1</v>
      </c>
      <c r="C1606" s="1">
        <v>3.2903701942255803</v>
      </c>
      <c r="D1606" s="1">
        <v>522</v>
      </c>
      <c r="E1606" s="1">
        <v>382.38867959241583</v>
      </c>
      <c r="F1606" s="1">
        <v>170.84265572259216</v>
      </c>
      <c r="G1606" s="1">
        <v>2231.5551943844357</v>
      </c>
      <c r="H1606" s="1">
        <v>2.8159999999999998E-2</v>
      </c>
      <c r="I1606" s="1">
        <v>148.55883106312371</v>
      </c>
      <c r="J1606" s="1">
        <v>19.119433979620791</v>
      </c>
      <c r="K1606" s="1">
        <v>9.3192751662340076E-2</v>
      </c>
      <c r="L1606" s="1">
        <v>90.816552405492033</v>
      </c>
      <c r="M1606" s="1">
        <v>329.03701942254884</v>
      </c>
      <c r="N1606" s="1">
        <v>-13.337691805571472</v>
      </c>
      <c r="O1606" s="1">
        <v>1.6125531854889279E-6</v>
      </c>
    </row>
    <row r="1607" spans="1:15" x14ac:dyDescent="0.25">
      <c r="A1607">
        <v>2505.7399999999998</v>
      </c>
      <c r="B1607" s="1">
        <v>0.1</v>
      </c>
      <c r="C1607" s="1">
        <v>3.2965787750329221</v>
      </c>
      <c r="D1607" s="1">
        <v>522.1</v>
      </c>
      <c r="E1607" s="1">
        <v>383.3907012128268</v>
      </c>
      <c r="F1607" s="1">
        <v>171.28402087239758</v>
      </c>
      <c r="G1607" s="1">
        <v>2235.3891013430261</v>
      </c>
      <c r="H1607" s="1">
        <v>2.8159999999999998E-2</v>
      </c>
      <c r="I1607" s="1">
        <v>148.94262684556315</v>
      </c>
      <c r="J1607" s="1">
        <v>19.169535060641341</v>
      </c>
      <c r="K1607" s="1">
        <v>9.3177321920018014E-2</v>
      </c>
      <c r="L1607" s="1">
        <v>90.832330092499845</v>
      </c>
      <c r="M1607" s="1">
        <v>329.65787750331401</v>
      </c>
      <c r="N1607" s="1">
        <v>-13.340801805571472</v>
      </c>
      <c r="O1607" s="1">
        <v>1.6075459353918439E-6</v>
      </c>
    </row>
    <row r="1608" spans="1:15" x14ac:dyDescent="0.25">
      <c r="A1608">
        <v>2509.04</v>
      </c>
      <c r="B1608" s="1">
        <v>0.1</v>
      </c>
      <c r="C1608" s="1">
        <v>3.302805844350384</v>
      </c>
      <c r="D1608" s="1">
        <v>522.20000000000005</v>
      </c>
      <c r="E1608" s="1">
        <v>384.39666803400382</v>
      </c>
      <c r="F1608" s="1">
        <v>171.7270963876567</v>
      </c>
      <c r="G1608" s="1">
        <v>2239.2330679693987</v>
      </c>
      <c r="H1608" s="1">
        <v>2.8159999999999998E-2</v>
      </c>
      <c r="I1608" s="1">
        <v>149.32790990231021</v>
      </c>
      <c r="J1608" s="1">
        <v>19.219833401700193</v>
      </c>
      <c r="K1608" s="1">
        <v>9.31619044982432E-2</v>
      </c>
      <c r="L1608" s="1">
        <v>90.848100401162512</v>
      </c>
      <c r="M1608" s="1">
        <v>330.2805844350587</v>
      </c>
      <c r="N1608" s="1">
        <v>-13.343911805571471</v>
      </c>
      <c r="O1608" s="1">
        <v>1.6025542336523333E-6</v>
      </c>
    </row>
    <row r="1609" spans="1:15" x14ac:dyDescent="0.25">
      <c r="A1609">
        <v>2512.35</v>
      </c>
      <c r="B1609" s="1">
        <v>0.1</v>
      </c>
      <c r="C1609" s="1">
        <v>3.3090514848164978</v>
      </c>
      <c r="D1609" s="1">
        <v>522.30000000000007</v>
      </c>
      <c r="E1609" s="1">
        <v>385.40660148940196</v>
      </c>
      <c r="F1609" s="1">
        <v>172.17189141126039</v>
      </c>
      <c r="G1609" s="1">
        <v>2243.0871339298924</v>
      </c>
      <c r="H1609" s="1">
        <v>2.8159999999999998E-2</v>
      </c>
      <c r="I1609" s="1">
        <v>149.71468818370468</v>
      </c>
      <c r="J1609" s="1">
        <v>19.270330074470099</v>
      </c>
      <c r="K1609" s="1">
        <v>9.3146499382437117E-2</v>
      </c>
      <c r="L1609" s="1">
        <v>90.863863336478076</v>
      </c>
      <c r="M1609" s="1">
        <v>330.90514848163366</v>
      </c>
      <c r="N1609" s="1">
        <v>-13.347021805571471</v>
      </c>
      <c r="O1609" s="1">
        <v>1.5975780319901197E-6</v>
      </c>
    </row>
    <row r="1610" spans="1:15" x14ac:dyDescent="0.25">
      <c r="A1610">
        <v>2515.66</v>
      </c>
      <c r="B1610" s="1">
        <v>0.1</v>
      </c>
      <c r="C1610" s="1">
        <v>3.3153157795738091</v>
      </c>
      <c r="D1610" s="1">
        <v>522.4</v>
      </c>
      <c r="E1610" s="1">
        <v>386.42052316248953</v>
      </c>
      <c r="F1610" s="1">
        <v>172.61841514893234</v>
      </c>
      <c r="G1610" s="1">
        <v>2246.9513391066785</v>
      </c>
      <c r="H1610" s="1">
        <v>2.8159999999999998E-2</v>
      </c>
      <c r="I1610" s="1">
        <v>150.10296969472384</v>
      </c>
      <c r="J1610" s="1">
        <v>19.321026158124479</v>
      </c>
      <c r="K1610" s="1">
        <v>9.3131106558016874E-2</v>
      </c>
      <c r="L1610" s="1">
        <v>90.879618903468014</v>
      </c>
      <c r="M1610" s="1">
        <v>331.53157795736661</v>
      </c>
      <c r="N1610" s="1">
        <v>-13.35013180557147</v>
      </c>
      <c r="O1610" s="1">
        <v>1.5926172822748436E-6</v>
      </c>
    </row>
    <row r="1611" spans="1:15" x14ac:dyDescent="0.25">
      <c r="A1611">
        <v>2518.9899999999998</v>
      </c>
      <c r="B1611" s="1">
        <v>0.1</v>
      </c>
      <c r="C1611" s="1">
        <v>3.321598812272931</v>
      </c>
      <c r="D1611" s="1">
        <v>522.5</v>
      </c>
      <c r="E1611" s="1">
        <v>387.43845478741434</v>
      </c>
      <c r="F1611" s="1">
        <v>173.06667686976502</v>
      </c>
      <c r="G1611" s="1">
        <v>2250.8257235992728</v>
      </c>
      <c r="H1611" s="1">
        <v>2.8159999999999998E-2</v>
      </c>
      <c r="I1611" s="1">
        <v>150.49276249544789</v>
      </c>
      <c r="J1611" s="1">
        <v>19.371922739370717</v>
      </c>
      <c r="K1611" s="1">
        <v>9.3115726010397137E-2</v>
      </c>
      <c r="L1611" s="1">
        <v>90.895367107175389</v>
      </c>
      <c r="M1611" s="1">
        <v>332.15988122728959</v>
      </c>
      <c r="N1611" s="1">
        <v>-13.35324180557147</v>
      </c>
      <c r="O1611" s="1">
        <v>1.5876719365255987E-6</v>
      </c>
    </row>
    <row r="1612" spans="1:15" x14ac:dyDescent="0.25">
      <c r="A1612">
        <v>2522.31</v>
      </c>
      <c r="B1612" s="1">
        <v>0.1</v>
      </c>
      <c r="C1612" s="1">
        <v>3.3279006670761371</v>
      </c>
      <c r="D1612" s="1">
        <v>522.6</v>
      </c>
      <c r="E1612" s="1">
        <v>388.46041825113531</v>
      </c>
      <c r="F1612" s="1">
        <v>173.51668590674868</v>
      </c>
      <c r="G1612" s="1">
        <v>2254.7103277260567</v>
      </c>
      <c r="H1612" s="1">
        <v>2.8159999999999998E-2</v>
      </c>
      <c r="I1612" s="1">
        <v>150.8840747015206</v>
      </c>
      <c r="J1612" s="1">
        <v>19.423020912556765</v>
      </c>
      <c r="K1612" s="1">
        <v>9.3100357724987426E-2</v>
      </c>
      <c r="L1612" s="1">
        <v>90.91110795266755</v>
      </c>
      <c r="M1612" s="1">
        <v>332.79006670759372</v>
      </c>
      <c r="N1612" s="1">
        <v>-13.356351805571469</v>
      </c>
      <c r="O1612" s="1">
        <v>1.5827419469104683E-6</v>
      </c>
    </row>
    <row r="1613" spans="1:15" x14ac:dyDescent="0.25">
      <c r="A1613">
        <v>2525.65</v>
      </c>
      <c r="B1613" s="1">
        <v>0.1</v>
      </c>
      <c r="C1613" s="1">
        <v>3.3342214286614391</v>
      </c>
      <c r="D1613" s="1">
        <v>522.70000000000005</v>
      </c>
      <c r="E1613" s="1">
        <v>389.48643559335585</v>
      </c>
      <c r="F1613" s="1">
        <v>173.9684516573102</v>
      </c>
      <c r="G1613" s="1">
        <v>2258.6051920258128</v>
      </c>
      <c r="H1613" s="1">
        <v>2.8159999999999998E-2</v>
      </c>
      <c r="I1613" s="1">
        <v>151.27691448461761</v>
      </c>
      <c r="J1613" s="1">
        <v>19.474321779667793</v>
      </c>
      <c r="K1613" s="1">
        <v>9.3085001687196148E-2</v>
      </c>
      <c r="L1613" s="1">
        <v>90.926841445032011</v>
      </c>
      <c r="M1613" s="1">
        <v>333.42214286612943</v>
      </c>
      <c r="N1613" s="1">
        <v>-13.359461805571469</v>
      </c>
      <c r="O1613" s="1">
        <v>1.5778272657460616E-6</v>
      </c>
    </row>
    <row r="1614" spans="1:15" x14ac:dyDescent="0.25">
      <c r="A1614">
        <v>2528.9899999999998</v>
      </c>
      <c r="B1614" s="1">
        <v>0.1</v>
      </c>
      <c r="C1614" s="1">
        <v>3.340561182227201</v>
      </c>
      <c r="D1614" s="1">
        <v>522.80000000000007</v>
      </c>
      <c r="E1614" s="1">
        <v>390.51652900985448</v>
      </c>
      <c r="F1614" s="1">
        <v>174.42198358387478</v>
      </c>
      <c r="G1614" s="1">
        <v>2262.510357259277</v>
      </c>
      <c r="H1614" s="1">
        <v>2.8159999999999998E-2</v>
      </c>
      <c r="I1614" s="1">
        <v>151.67129007293462</v>
      </c>
      <c r="J1614" s="1">
        <v>19.525826450492726</v>
      </c>
      <c r="K1614" s="1">
        <v>9.3069657882424647E-2</v>
      </c>
      <c r="L1614" s="1">
        <v>90.942567589382591</v>
      </c>
      <c r="M1614" s="1">
        <v>334.05611822272476</v>
      </c>
      <c r="N1614" s="1">
        <v>-13.362571805571472</v>
      </c>
      <c r="O1614" s="1">
        <v>1.5729278454970467E-6</v>
      </c>
    </row>
    <row r="1615" spans="1:15" x14ac:dyDescent="0.25">
      <c r="A1615">
        <v>2532.34</v>
      </c>
      <c r="B1615" s="1">
        <v>0.1</v>
      </c>
      <c r="C1615" s="1">
        <v>3.346920013494894</v>
      </c>
      <c r="D1615" s="1">
        <v>522.9</v>
      </c>
      <c r="E1615" s="1">
        <v>391.55072085135248</v>
      </c>
      <c r="F1615" s="1">
        <v>174.87729121439233</v>
      </c>
      <c r="G1615" s="1">
        <v>2266.4258644106976</v>
      </c>
      <c r="H1615" s="1">
        <v>2.8159999999999998E-2</v>
      </c>
      <c r="I1615" s="1">
        <v>152.06720975164552</v>
      </c>
      <c r="J1615" s="1">
        <v>19.577536042567626</v>
      </c>
      <c r="K1615" s="1">
        <v>9.3054326296074158E-2</v>
      </c>
      <c r="L1615" s="1">
        <v>90.958286390852251</v>
      </c>
      <c r="M1615" s="1">
        <v>334.6920013495037</v>
      </c>
      <c r="N1615" s="1">
        <v>-13.365681805571471</v>
      </c>
      <c r="O1615" s="1">
        <v>1.5680436387757142E-6</v>
      </c>
    </row>
    <row r="1616" spans="1:15" x14ac:dyDescent="0.25">
      <c r="A1616">
        <v>2535.69</v>
      </c>
      <c r="B1616" s="1">
        <v>0.1</v>
      </c>
      <c r="C1616" s="1">
        <v>3.3532980087147846</v>
      </c>
      <c r="D1616" s="1">
        <v>523</v>
      </c>
      <c r="E1616" s="1">
        <v>392.58903362751062</v>
      </c>
      <c r="F1616" s="1">
        <v>175.33438414292004</v>
      </c>
      <c r="G1616" s="1">
        <v>2270.3517546894145</v>
      </c>
      <c r="H1616" s="1">
        <v>2.8159999999999998E-2</v>
      </c>
      <c r="I1616" s="1">
        <v>152.46468186340877</v>
      </c>
      <c r="J1616" s="1">
        <v>19.629451681375532</v>
      </c>
      <c r="K1616" s="1">
        <v>9.3039006913538169E-2</v>
      </c>
      <c r="L1616" s="1">
        <v>90.973997854600881</v>
      </c>
      <c r="M1616" s="1">
        <v>335.32980087147735</v>
      </c>
      <c r="N1616" s="1">
        <v>-13.368791805571471</v>
      </c>
      <c r="O1616" s="1">
        <v>1.563174598341484E-6</v>
      </c>
    </row>
    <row r="1617" spans="1:15" x14ac:dyDescent="0.25">
      <c r="A1617">
        <v>2539.0500000000002</v>
      </c>
      <c r="B1617" s="1">
        <v>0.1</v>
      </c>
      <c r="C1617" s="1">
        <v>3.3596952546685053</v>
      </c>
      <c r="D1617" s="1">
        <v>523.1</v>
      </c>
      <c r="E1617" s="1">
        <v>393.63149000579688</v>
      </c>
      <c r="F1617" s="1">
        <v>175.79327203016069</v>
      </c>
      <c r="G1617" s="1">
        <v>2274.2880695314457</v>
      </c>
      <c r="H1617" s="1">
        <v>2.8159999999999998E-2</v>
      </c>
      <c r="I1617" s="1">
        <v>152.86371480883543</v>
      </c>
      <c r="J1617" s="1">
        <v>19.681574500289845</v>
      </c>
      <c r="K1617" s="1">
        <v>9.3023699720209505E-2</v>
      </c>
      <c r="L1617" s="1">
        <v>90.989701985808168</v>
      </c>
      <c r="M1617" s="1">
        <v>335.96952546686225</v>
      </c>
      <c r="N1617" s="1">
        <v>-13.37190180557147</v>
      </c>
      <c r="O1617" s="1">
        <v>1.5583206771004731E-6</v>
      </c>
    </row>
    <row r="1618" spans="1:15" x14ac:dyDescent="0.25">
      <c r="A1618">
        <v>2542.42</v>
      </c>
      <c r="B1618" s="1">
        <v>0.1</v>
      </c>
      <c r="C1618" s="1">
        <v>3.3661118386746178</v>
      </c>
      <c r="D1618" s="1">
        <v>523.20000000000005</v>
      </c>
      <c r="E1618" s="1">
        <v>394.67811281475031</v>
      </c>
      <c r="F1618" s="1">
        <v>176.25396460405111</v>
      </c>
      <c r="G1618" s="1">
        <v>2278.2348506010935</v>
      </c>
      <c r="H1618" s="1">
        <v>2.8159999999999998E-2</v>
      </c>
      <c r="I1618" s="1">
        <v>153.26431704700099</v>
      </c>
      <c r="J1618" s="1">
        <v>19.733905640737518</v>
      </c>
      <c r="K1618" s="1">
        <v>9.3008404701474784E-2</v>
      </c>
      <c r="L1618" s="1">
        <v>91.005398789679219</v>
      </c>
      <c r="M1618" s="1">
        <v>336.6111838674442</v>
      </c>
      <c r="N1618" s="1">
        <v>-13.37501180557147</v>
      </c>
      <c r="O1618" s="1">
        <v>1.5534818281050314E-6</v>
      </c>
    </row>
    <row r="1619" spans="1:15" x14ac:dyDescent="0.25">
      <c r="A1619">
        <v>2545.79</v>
      </c>
      <c r="B1619" s="1">
        <v>0.1</v>
      </c>
      <c r="C1619" s="1">
        <v>3.3725478485918838</v>
      </c>
      <c r="D1619" s="1">
        <v>523.30000000000007</v>
      </c>
      <c r="E1619" s="1">
        <v>395.72892504451397</v>
      </c>
      <c r="F1619" s="1">
        <v>176.71647166032551</v>
      </c>
      <c r="G1619" s="1">
        <v>2282.1921397925603</v>
      </c>
      <c r="H1619" s="1">
        <v>2.8159999999999998E-2</v>
      </c>
      <c r="I1619" s="1">
        <v>153.66649709593526</v>
      </c>
      <c r="J1619" s="1">
        <v>19.786446252225701</v>
      </c>
      <c r="K1619" s="1">
        <v>9.2993121842716742E-2</v>
      </c>
      <c r="L1619" s="1">
        <v>91.02108827144211</v>
      </c>
      <c r="M1619" s="1">
        <v>337.25478485916938</v>
      </c>
      <c r="N1619" s="1">
        <v>-13.378121805571469</v>
      </c>
      <c r="O1619" s="1">
        <v>1.5486580045532898E-6</v>
      </c>
    </row>
    <row r="1620" spans="1:15" x14ac:dyDescent="0.25">
      <c r="A1620">
        <v>2549.17</v>
      </c>
      <c r="B1620" s="1">
        <v>0.1</v>
      </c>
      <c r="C1620" s="1">
        <v>3.3790033728239064</v>
      </c>
      <c r="D1620" s="1">
        <v>523.4</v>
      </c>
      <c r="E1620" s="1">
        <v>396.78394984823393</v>
      </c>
      <c r="F1620" s="1">
        <v>177.18080306309764</v>
      </c>
      <c r="G1620" s="1">
        <v>2286.1599792315819</v>
      </c>
      <c r="H1620" s="1">
        <v>2.8159999999999998E-2</v>
      </c>
      <c r="I1620" s="1">
        <v>154.07026353312838</v>
      </c>
      <c r="J1620" s="1">
        <v>19.839197492411699</v>
      </c>
      <c r="K1620" s="1">
        <v>9.2977851129314226E-2</v>
      </c>
      <c r="L1620" s="1">
        <v>91.036770436348007</v>
      </c>
      <c r="M1620" s="1">
        <v>337.90033728237177</v>
      </c>
      <c r="N1620" s="1">
        <v>-13.381231805571469</v>
      </c>
      <c r="O1620" s="1">
        <v>1.543849159788707E-6</v>
      </c>
    </row>
    <row r="1621" spans="1:15" x14ac:dyDescent="0.25">
      <c r="A1621">
        <v>2552.5500000000002</v>
      </c>
      <c r="B1621" s="1">
        <v>0.1</v>
      </c>
      <c r="C1621" s="1">
        <v>3.3854785003232339</v>
      </c>
      <c r="D1621" s="1">
        <v>523.5</v>
      </c>
      <c r="E1621" s="1">
        <v>397.8432105435914</v>
      </c>
      <c r="F1621" s="1">
        <v>177.64696874544268</v>
      </c>
      <c r="G1621" s="1">
        <v>2290.1384112770688</v>
      </c>
      <c r="H1621" s="1">
        <v>2.8159999999999998E-2</v>
      </c>
      <c r="I1621" s="1">
        <v>154.47562499603717</v>
      </c>
      <c r="J1621" s="1">
        <v>19.89216052717957</v>
      </c>
      <c r="K1621" s="1">
        <v>9.2962592546641784E-2</v>
      </c>
      <c r="L1621" s="1">
        <v>91.052445289671581</v>
      </c>
      <c r="M1621" s="1">
        <v>338.54785003231882</v>
      </c>
      <c r="N1621" s="1">
        <v>-13.384341805571472</v>
      </c>
      <c r="O1621" s="1">
        <v>1.5390552472996127E-6</v>
      </c>
    </row>
    <row r="1622" spans="1:15" x14ac:dyDescent="0.25">
      <c r="A1622">
        <v>2555.94</v>
      </c>
      <c r="B1622" s="1">
        <v>0.1</v>
      </c>
      <c r="C1622" s="1">
        <v>3.3919733205960658</v>
      </c>
      <c r="D1622" s="1">
        <v>523.6</v>
      </c>
      <c r="E1622" s="1">
        <v>398.90673061460103</v>
      </c>
      <c r="F1622" s="1">
        <v>178.11497870999685</v>
      </c>
      <c r="G1622" s="1">
        <v>2294.1274785227729</v>
      </c>
      <c r="H1622" s="1">
        <v>2.8159999999999998E-2</v>
      </c>
      <c r="I1622" s="1">
        <v>154.88259018260598</v>
      </c>
      <c r="J1622" s="1">
        <v>19.945336530730053</v>
      </c>
      <c r="K1622" s="1">
        <v>9.294734608006841E-2</v>
      </c>
      <c r="L1622" s="1">
        <v>91.068112836712189</v>
      </c>
      <c r="M1622" s="1">
        <v>339.19733205962075</v>
      </c>
      <c r="N1622" s="1">
        <v>-13.387451805571471</v>
      </c>
      <c r="O1622" s="1">
        <v>1.5342762207187795E-6</v>
      </c>
    </row>
    <row r="1623" spans="1:15" x14ac:dyDescent="0.25">
      <c r="A1623">
        <v>2559.34</v>
      </c>
      <c r="B1623" s="1">
        <v>0.1</v>
      </c>
      <c r="C1623" s="1">
        <v>3.3984879237063264</v>
      </c>
      <c r="D1623" s="1">
        <v>523.70000000000005</v>
      </c>
      <c r="E1623" s="1">
        <v>399.97453371227732</v>
      </c>
      <c r="F1623" s="1">
        <v>178.58484302955245</v>
      </c>
      <c r="G1623" s="1">
        <v>2298.127223798956</v>
      </c>
      <c r="H1623" s="1">
        <v>2.8159999999999998E-2</v>
      </c>
      <c r="I1623" s="1">
        <v>155.29116785178476</v>
      </c>
      <c r="J1623" s="1">
        <v>19.998726685613867</v>
      </c>
      <c r="K1623" s="1">
        <v>9.2932111714959811E-2</v>
      </c>
      <c r="L1623" s="1">
        <v>91.083773082791708</v>
      </c>
      <c r="M1623" s="1">
        <v>339.84879237063979</v>
      </c>
      <c r="N1623" s="1">
        <v>-13.390561805571471</v>
      </c>
      <c r="O1623" s="1">
        <v>1.5295120338229415E-6</v>
      </c>
    </row>
    <row r="1624" spans="1:15" x14ac:dyDescent="0.25">
      <c r="A1624">
        <v>2562.75</v>
      </c>
      <c r="B1624" s="1">
        <v>0.1</v>
      </c>
      <c r="C1624" s="1">
        <v>3.405022400279925</v>
      </c>
      <c r="D1624" s="1">
        <v>523.80000000000007</v>
      </c>
      <c r="E1624" s="1">
        <v>401.04664365689933</v>
      </c>
      <c r="F1624" s="1">
        <v>179.05657184765491</v>
      </c>
      <c r="G1624" s="1">
        <v>2302.1376901740832</v>
      </c>
      <c r="H1624" s="1">
        <v>2.8159999999999998E-2</v>
      </c>
      <c r="I1624" s="1">
        <v>155.70136682404777</v>
      </c>
      <c r="J1624" s="1">
        <v>20.052332182844967</v>
      </c>
      <c r="K1624" s="1">
        <v>9.2916889436675962E-2</v>
      </c>
      <c r="L1624" s="1">
        <v>91.099426033256947</v>
      </c>
      <c r="M1624" s="1">
        <v>340.50224002799041</v>
      </c>
      <c r="N1624" s="1">
        <v>-13.39367180557147</v>
      </c>
      <c r="O1624" s="1">
        <v>1.5247626405323699E-6</v>
      </c>
    </row>
    <row r="1625" spans="1:15" x14ac:dyDescent="0.25">
      <c r="A1625">
        <v>2566.16</v>
      </c>
      <c r="B1625" s="1">
        <v>0.1</v>
      </c>
      <c r="C1625" s="1">
        <v>3.4115768415097598</v>
      </c>
      <c r="D1625" s="1">
        <v>523.9</v>
      </c>
      <c r="E1625" s="1">
        <v>402.12308443894341</v>
      </c>
      <c r="F1625" s="1">
        <v>179.5301753792229</v>
      </c>
      <c r="G1625" s="1">
        <v>2306.1589209565232</v>
      </c>
      <c r="H1625" s="1">
        <v>2.8159999999999998E-2</v>
      </c>
      <c r="I1625" s="1">
        <v>156.11319598193296</v>
      </c>
      <c r="J1625" s="1">
        <v>20.106154221947172</v>
      </c>
      <c r="K1625" s="1">
        <v>9.2901679230572493E-2</v>
      </c>
      <c r="L1625" s="1">
        <v>91.1150716934782</v>
      </c>
      <c r="M1625" s="1">
        <v>341.1576841509941</v>
      </c>
      <c r="N1625" s="1">
        <v>-13.39678180557147</v>
      </c>
      <c r="O1625" s="1">
        <v>1.5200279949104202E-6</v>
      </c>
    </row>
    <row r="1626" spans="1:15" x14ac:dyDescent="0.25">
      <c r="A1626">
        <v>2569.58</v>
      </c>
      <c r="B1626" s="1">
        <v>0.1</v>
      </c>
      <c r="C1626" s="1">
        <v>3.4181513391596332</v>
      </c>
      <c r="D1626" s="1">
        <v>524</v>
      </c>
      <c r="E1626" s="1">
        <v>403.20388022101474</v>
      </c>
      <c r="F1626" s="1">
        <v>180.00566391115564</v>
      </c>
      <c r="G1626" s="1">
        <v>2310.1909596962705</v>
      </c>
      <c r="H1626" s="1">
        <v>2.8159999999999998E-2</v>
      </c>
      <c r="I1626" s="1">
        <v>156.52666427057017</v>
      </c>
      <c r="J1626" s="1">
        <v>20.160194011050738</v>
      </c>
      <c r="K1626" s="1">
        <v>9.2886481081999595E-2</v>
      </c>
      <c r="L1626" s="1">
        <v>91.130710068850547</v>
      </c>
      <c r="M1626" s="1">
        <v>341.81513391595217</v>
      </c>
      <c r="N1626" s="1">
        <v>-13.399891805571469</v>
      </c>
      <c r="O1626" s="1">
        <v>1.5153080511630903E-6</v>
      </c>
    </row>
    <row r="1627" spans="1:15" x14ac:dyDescent="0.25">
      <c r="A1627">
        <v>2573</v>
      </c>
      <c r="B1627" s="1">
        <v>0.1</v>
      </c>
      <c r="C1627" s="1">
        <v>3.4247459855693054</v>
      </c>
      <c r="D1627" s="1">
        <v>524.1</v>
      </c>
      <c r="E1627" s="1">
        <v>404.28905533878014</v>
      </c>
      <c r="F1627" s="1">
        <v>180.48304780296283</v>
      </c>
      <c r="G1627" s="1">
        <v>2314.2338501866784</v>
      </c>
      <c r="H1627" s="1">
        <v>2.8159999999999998E-2</v>
      </c>
      <c r="I1627" s="1">
        <v>156.94178069822857</v>
      </c>
      <c r="J1627" s="1">
        <v>20.214452766939008</v>
      </c>
      <c r="K1627" s="1">
        <v>9.287129497630324E-2</v>
      </c>
      <c r="L1627" s="1">
        <v>91.146341164792418</v>
      </c>
      <c r="M1627" s="1">
        <v>342.47459855691886</v>
      </c>
      <c r="N1627" s="1">
        <v>-13.403001805571469</v>
      </c>
      <c r="O1627" s="1">
        <v>1.5106027636385745E-6</v>
      </c>
    </row>
    <row r="1628" spans="1:15" x14ac:dyDescent="0.25">
      <c r="A1628">
        <v>2576.4299999999998</v>
      </c>
      <c r="B1628" s="1">
        <v>0.1</v>
      </c>
      <c r="C1628" s="1">
        <v>3.4313608736586132</v>
      </c>
      <c r="D1628" s="1">
        <v>524.20000000000005</v>
      </c>
      <c r="E1628" s="1">
        <v>405.37863430316622</v>
      </c>
      <c r="F1628" s="1">
        <v>180.96233748738564</v>
      </c>
      <c r="G1628" s="1">
        <v>2318.2876364662056</v>
      </c>
      <c r="H1628" s="1">
        <v>2.8159999999999998E-2</v>
      </c>
      <c r="I1628" s="1">
        <v>157.35855433685708</v>
      </c>
      <c r="J1628" s="1">
        <v>20.268931715158313</v>
      </c>
      <c r="K1628" s="1">
        <v>9.2856120898823377E-2</v>
      </c>
      <c r="L1628" s="1">
        <v>91.161964986747492</v>
      </c>
      <c r="M1628" s="1">
        <v>343.13608736588321</v>
      </c>
      <c r="N1628" s="1">
        <v>-13.406111805571472</v>
      </c>
      <c r="O1628" s="1">
        <v>1.5059120868268205E-6</v>
      </c>
    </row>
    <row r="1629" spans="1:15" x14ac:dyDescent="0.25">
      <c r="A1629">
        <v>2579.87</v>
      </c>
      <c r="B1629" s="1">
        <v>0.1</v>
      </c>
      <c r="C1629" s="1">
        <v>3.4379960969326575</v>
      </c>
      <c r="D1629" s="1">
        <v>524.30000000000007</v>
      </c>
      <c r="E1629" s="1">
        <v>406.47264180129207</v>
      </c>
      <c r="F1629" s="1">
        <v>181.44354347104169</v>
      </c>
      <c r="G1629" s="1">
        <v>2322.3523628201856</v>
      </c>
      <c r="H1629" s="1">
        <v>2.8159999999999998E-2</v>
      </c>
      <c r="I1629" s="1">
        <v>157.77699432264498</v>
      </c>
      <c r="J1629" s="1">
        <v>20.323632090064606</v>
      </c>
      <c r="K1629" s="1">
        <v>9.284095883489546E-2</v>
      </c>
      <c r="L1629" s="1">
        <v>91.177581540183226</v>
      </c>
      <c r="M1629" s="1">
        <v>343.7996096932693</v>
      </c>
      <c r="N1629" s="1">
        <v>-13.409221805571471</v>
      </c>
      <c r="O1629" s="1">
        <v>1.501235975359106E-6</v>
      </c>
    </row>
    <row r="1630" spans="1:15" x14ac:dyDescent="0.25">
      <c r="A1630">
        <v>2583.3200000000002</v>
      </c>
      <c r="B1630" s="1">
        <v>0.1</v>
      </c>
      <c r="C1630" s="1">
        <v>3.4446517494861419</v>
      </c>
      <c r="D1630" s="1">
        <v>524.4</v>
      </c>
      <c r="E1630" s="1">
        <v>407.57110269866723</v>
      </c>
      <c r="F1630" s="1">
        <v>181.92667633506514</v>
      </c>
      <c r="G1630" s="1">
        <v>2326.4280737826061</v>
      </c>
      <c r="H1630" s="1">
        <v>2.8159999999999998E-2</v>
      </c>
      <c r="I1630" s="1">
        <v>158.19710985657841</v>
      </c>
      <c r="J1630" s="1">
        <v>20.378555134933364</v>
      </c>
      <c r="K1630" s="1">
        <v>9.2825808769848639E-2</v>
      </c>
      <c r="L1630" s="1">
        <v>91.193190830592641</v>
      </c>
      <c r="M1630" s="1">
        <v>344.46517494861837</v>
      </c>
      <c r="N1630" s="1">
        <v>-13.412331805571471</v>
      </c>
      <c r="O1630" s="1">
        <v>1.4965743840075727E-6</v>
      </c>
    </row>
    <row r="1631" spans="1:15" x14ac:dyDescent="0.25">
      <c r="A1631">
        <v>2586.77</v>
      </c>
      <c r="B1631" s="1">
        <v>0.1</v>
      </c>
      <c r="C1631" s="1">
        <v>3.4513279260079615</v>
      </c>
      <c r="D1631" s="1">
        <v>524.5</v>
      </c>
      <c r="E1631" s="1">
        <v>408.67404204012468</v>
      </c>
      <c r="F1631" s="1">
        <v>182.41174673574918</v>
      </c>
      <c r="G1631" s="1">
        <v>2330.5148141379018</v>
      </c>
      <c r="H1631" s="1">
        <v>2.8159999999999998E-2</v>
      </c>
      <c r="I1631" s="1">
        <v>158.61891020499931</v>
      </c>
      <c r="J1631" s="1">
        <v>20.433702102006237</v>
      </c>
      <c r="K1631" s="1">
        <v>9.2810670689007349E-2</v>
      </c>
      <c r="L1631" s="1">
        <v>91.208792863492718</v>
      </c>
      <c r="M1631" s="1">
        <v>345.13279260081617</v>
      </c>
      <c r="N1631" s="1">
        <v>-13.41544180557147</v>
      </c>
      <c r="O1631" s="1">
        <v>1.4919272676848056E-6</v>
      </c>
    </row>
    <row r="1632" spans="1:15" x14ac:dyDescent="0.25">
      <c r="A1632">
        <v>2590.23</v>
      </c>
      <c r="B1632" s="1">
        <v>0.1</v>
      </c>
      <c r="C1632" s="1">
        <v>3.4580247217860651</v>
      </c>
      <c r="D1632" s="1">
        <v>524.6</v>
      </c>
      <c r="E1632" s="1">
        <v>409.78148505161903</v>
      </c>
      <c r="F1632" s="1">
        <v>182.89876540519867</v>
      </c>
      <c r="G1632" s="1">
        <v>2334.6126289227686</v>
      </c>
      <c r="H1632" s="1">
        <v>2.8159999999999998E-2</v>
      </c>
      <c r="I1632" s="1">
        <v>159.0424047001728</v>
      </c>
      <c r="J1632" s="1">
        <v>20.489074252580952</v>
      </c>
      <c r="K1632" s="1">
        <v>9.2795544577690667E-2</v>
      </c>
      <c r="L1632" s="1">
        <v>91.224387644425036</v>
      </c>
      <c r="M1632" s="1">
        <v>345.80247217859323</v>
      </c>
      <c r="N1632" s="1">
        <v>-13.41855180557147</v>
      </c>
      <c r="O1632" s="1">
        <v>1.4872945814433951E-6</v>
      </c>
    </row>
    <row r="1633" spans="1:15" x14ac:dyDescent="0.25">
      <c r="A1633">
        <v>2593.69</v>
      </c>
      <c r="B1633" s="1">
        <v>0.1</v>
      </c>
      <c r="C1633" s="1">
        <v>3.4647422327126636</v>
      </c>
      <c r="D1633" s="1">
        <v>524.70000000000005</v>
      </c>
      <c r="E1633" s="1">
        <v>410.89345714222515</v>
      </c>
      <c r="F1633" s="1">
        <v>183.38774315200175</v>
      </c>
      <c r="G1633" s="1">
        <v>2338.721563427991</v>
      </c>
      <c r="H1633" s="1">
        <v>2.8159999999999998E-2</v>
      </c>
      <c r="I1633" s="1">
        <v>159.46760274087111</v>
      </c>
      <c r="J1633" s="1">
        <v>20.544672857111259</v>
      </c>
      <c r="K1633" s="1">
        <v>9.2780430421211174E-2</v>
      </c>
      <c r="L1633" s="1">
        <v>91.23997517895701</v>
      </c>
      <c r="M1633" s="1">
        <v>346.47422327125241</v>
      </c>
      <c r="N1633" s="1">
        <v>-13.421661805571469</v>
      </c>
      <c r="O1633" s="1">
        <v>1.4826762804755003E-6</v>
      </c>
    </row>
    <row r="1634" spans="1:15" x14ac:dyDescent="0.25">
      <c r="A1634">
        <v>2597.16</v>
      </c>
      <c r="B1634" s="1">
        <v>0.1</v>
      </c>
      <c r="C1634" s="1">
        <v>3.4714805552888417</v>
      </c>
      <c r="D1634" s="1">
        <v>524.80000000000007</v>
      </c>
      <c r="E1634" s="1">
        <v>412.00998390547028</v>
      </c>
      <c r="F1634" s="1">
        <v>183.87869086189858</v>
      </c>
      <c r="G1634" s="1">
        <v>2342.8416632002895</v>
      </c>
      <c r="H1634" s="1">
        <v>2.8159999999999998E-2</v>
      </c>
      <c r="I1634" s="1">
        <v>159.89451379295537</v>
      </c>
      <c r="J1634" s="1">
        <v>20.600499195273514</v>
      </c>
      <c r="K1634" s="1">
        <v>9.2765328204875583E-2</v>
      </c>
      <c r="L1634" s="1">
        <v>91.255555472681195</v>
      </c>
      <c r="M1634" s="1">
        <v>347.14805552889629</v>
      </c>
      <c r="N1634" s="1">
        <v>-13.424771805571469</v>
      </c>
      <c r="O1634" s="1">
        <v>1.4780723201124168E-6</v>
      </c>
    </row>
    <row r="1635" spans="1:15" x14ac:dyDescent="0.25">
      <c r="A1635">
        <v>2600.64</v>
      </c>
      <c r="B1635" s="1">
        <v>0.1</v>
      </c>
      <c r="C1635" s="1">
        <v>3.4782397866291692</v>
      </c>
      <c r="D1635" s="1">
        <v>524.9</v>
      </c>
      <c r="E1635" s="1">
        <v>413.13109112040001</v>
      </c>
      <c r="F1635" s="1">
        <v>184.37161949844909</v>
      </c>
      <c r="G1635" s="1">
        <v>2346.9729740441758</v>
      </c>
      <c r="H1635" s="1">
        <v>2.8159999999999998E-2</v>
      </c>
      <c r="I1635" s="1">
        <v>160.32314738995572</v>
      </c>
      <c r="J1635" s="1">
        <v>20.656554556020001</v>
      </c>
      <c r="K1635" s="1">
        <v>9.2750237913986192E-2</v>
      </c>
      <c r="L1635" s="1">
        <v>91.27112853121379</v>
      </c>
      <c r="M1635" s="1">
        <v>347.8239786629274</v>
      </c>
      <c r="N1635" s="1">
        <v>-13.427881805571472</v>
      </c>
      <c r="O1635" s="1">
        <v>1.4734826558241379E-6</v>
      </c>
    </row>
    <row r="1636" spans="1:15" x14ac:dyDescent="0.25">
      <c r="A1636">
        <v>2604.12</v>
      </c>
      <c r="B1636" s="1">
        <v>0.1</v>
      </c>
      <c r="C1636" s="1">
        <v>3.4850200244672371</v>
      </c>
      <c r="D1636" s="1">
        <v>525</v>
      </c>
      <c r="E1636" s="1">
        <v>414.2568047545758</v>
      </c>
      <c r="F1636" s="1">
        <v>184.86654010372462</v>
      </c>
      <c r="G1636" s="1">
        <v>2351.1155420238365</v>
      </c>
      <c r="H1636" s="1">
        <v>2.8159999999999998E-2</v>
      </c>
      <c r="I1636" s="1">
        <v>160.75351313367364</v>
      </c>
      <c r="J1636" s="1">
        <v>20.712840237728791</v>
      </c>
      <c r="K1636" s="1">
        <v>9.2735159533837291E-2</v>
      </c>
      <c r="L1636" s="1">
        <v>91.286694360198467</v>
      </c>
      <c r="M1636" s="1">
        <v>348.50200244673033</v>
      </c>
      <c r="N1636" s="1">
        <v>-13.430991805571471</v>
      </c>
      <c r="O1636" s="1">
        <v>1.4689072432189469E-6</v>
      </c>
    </row>
    <row r="1637" spans="1:15" x14ac:dyDescent="0.25">
      <c r="A1637">
        <v>2607.62</v>
      </c>
      <c r="B1637" s="1">
        <v>0.1</v>
      </c>
      <c r="C1637" s="1">
        <v>3.4918213671601759</v>
      </c>
      <c r="D1637" s="1">
        <v>525.1</v>
      </c>
      <c r="E1637" s="1">
        <v>415.38715096440802</v>
      </c>
      <c r="F1637" s="1">
        <v>185.36346379899175</v>
      </c>
      <c r="G1637" s="1">
        <v>2355.2694134650228</v>
      </c>
      <c r="H1637" s="1">
        <v>2.8159999999999998E-2</v>
      </c>
      <c r="I1637" s="1">
        <v>161.18562069477551</v>
      </c>
      <c r="J1637" s="1">
        <v>20.769357548220402</v>
      </c>
      <c r="K1637" s="1">
        <v>9.2720093049718427E-2</v>
      </c>
      <c r="L1637" s="1">
        <v>91.302252965302813</v>
      </c>
      <c r="M1637" s="1">
        <v>349.18213671603553</v>
      </c>
      <c r="N1637" s="1">
        <v>-13.434101805571471</v>
      </c>
      <c r="O1637" s="1">
        <v>1.4643460380429541E-6</v>
      </c>
    </row>
    <row r="1638" spans="1:15" x14ac:dyDescent="0.25">
      <c r="A1638">
        <v>2611.12</v>
      </c>
      <c r="B1638" s="1">
        <v>0.1</v>
      </c>
      <c r="C1638" s="1">
        <v>3.4986439136940022</v>
      </c>
      <c r="D1638" s="1">
        <v>525.20000000000005</v>
      </c>
      <c r="E1638" s="1">
        <v>416.52215609768729</v>
      </c>
      <c r="F1638" s="1">
        <v>185.86240178541192</v>
      </c>
      <c r="G1638" s="1">
        <v>2359.4346349569628</v>
      </c>
      <c r="H1638" s="1">
        <v>2.8159999999999998E-2</v>
      </c>
      <c r="I1638" s="1">
        <v>161.61947981340171</v>
      </c>
      <c r="J1638" s="1">
        <v>20.826107804884366</v>
      </c>
      <c r="K1638" s="1">
        <v>9.270503844691233E-2</v>
      </c>
      <c r="L1638" s="1">
        <v>91.317804352220648</v>
      </c>
      <c r="M1638" s="1">
        <v>349.86439136941954</v>
      </c>
      <c r="N1638" s="1">
        <v>-13.43721180557147</v>
      </c>
      <c r="O1638" s="1">
        <v>1.4597989961796916E-6</v>
      </c>
    </row>
    <row r="1639" spans="1:15" x14ac:dyDescent="0.25">
      <c r="A1639">
        <v>2614.62</v>
      </c>
      <c r="B1639" s="1">
        <v>0.1</v>
      </c>
      <c r="C1639" s="1">
        <v>3.505487763688758</v>
      </c>
      <c r="D1639" s="1">
        <v>525.30000000000007</v>
      </c>
      <c r="E1639" s="1">
        <v>417.66184669504992</v>
      </c>
      <c r="F1639" s="1">
        <v>186.36336534474916</v>
      </c>
      <c r="G1639" s="1">
        <v>2363.6112533542919</v>
      </c>
      <c r="H1639" s="1">
        <v>2.8159999999999998E-2</v>
      </c>
      <c r="I1639" s="1">
        <v>162.05510029978188</v>
      </c>
      <c r="J1639" s="1">
        <v>20.883092334752497</v>
      </c>
      <c r="K1639" s="1">
        <v>9.2689995710695236E-2</v>
      </c>
      <c r="L1639" s="1">
        <v>91.333348526671614</v>
      </c>
      <c r="M1639" s="1">
        <v>350.54877636889614</v>
      </c>
      <c r="N1639" s="1">
        <v>-13.44032180557147</v>
      </c>
      <c r="O1639" s="1">
        <v>1.4552660736496803E-6</v>
      </c>
    </row>
    <row r="1640" spans="1:15" x14ac:dyDescent="0.25">
      <c r="A1640">
        <v>2618.13</v>
      </c>
      <c r="B1640" s="1">
        <v>0.1</v>
      </c>
      <c r="C1640" s="1">
        <v>3.5123530174034303</v>
      </c>
      <c r="D1640" s="1">
        <v>525.4</v>
      </c>
      <c r="E1640" s="1">
        <v>418.80624949151013</v>
      </c>
      <c r="F1640" s="1">
        <v>186.86636584007724</v>
      </c>
      <c r="G1640" s="1">
        <v>2367.7993157789952</v>
      </c>
      <c r="H1640" s="1">
        <v>2.8159999999999998E-2</v>
      </c>
      <c r="I1640" s="1">
        <v>162.49249203484982</v>
      </c>
      <c r="J1640" s="1">
        <v>20.940312474575506</v>
      </c>
      <c r="K1640" s="1">
        <v>9.26749648263374E-2</v>
      </c>
      <c r="L1640" s="1">
        <v>91.348885494400662</v>
      </c>
      <c r="M1640" s="1">
        <v>351.23530174032567</v>
      </c>
      <c r="N1640" s="1">
        <v>-13.443431805571469</v>
      </c>
      <c r="O1640" s="1">
        <v>1.4507472266100049E-6</v>
      </c>
    </row>
    <row r="1641" spans="1:15" x14ac:dyDescent="0.25">
      <c r="A1641">
        <v>2621.65</v>
      </c>
      <c r="B1641" s="1">
        <v>0.1</v>
      </c>
      <c r="C1641" s="1">
        <v>3.5192397757410609</v>
      </c>
      <c r="D1641" s="1">
        <v>525.5</v>
      </c>
      <c r="E1641" s="1">
        <v>419.95539141845836</v>
      </c>
      <c r="F1641" s="1">
        <v>187.37141471649187</v>
      </c>
      <c r="G1641" s="1">
        <v>2371.9988696223704</v>
      </c>
      <c r="H1641" s="1">
        <v>2.8159999999999998E-2</v>
      </c>
      <c r="I1641" s="1">
        <v>162.93166497086253</v>
      </c>
      <c r="J1641" s="1">
        <v>20.99776957092292</v>
      </c>
      <c r="K1641" s="1">
        <v>9.2659945779102401E-2</v>
      </c>
      <c r="L1641" s="1">
        <v>91.364415261178834</v>
      </c>
      <c r="M1641" s="1">
        <v>351.92397757409708</v>
      </c>
      <c r="N1641" s="1">
        <v>-13.446541805571469</v>
      </c>
      <c r="O1641" s="1">
        <v>1.44624241135389E-6</v>
      </c>
    </row>
    <row r="1642" spans="1:15" x14ac:dyDescent="0.25">
      <c r="A1642">
        <v>2625.18</v>
      </c>
      <c r="B1642" s="1">
        <v>0.1</v>
      </c>
      <c r="C1642" s="1">
        <v>3.5261481402550179</v>
      </c>
      <c r="D1642" s="1">
        <v>525.6</v>
      </c>
      <c r="E1642" s="1">
        <v>421.10929960565977</v>
      </c>
      <c r="F1642" s="1">
        <v>187.87852350186142</v>
      </c>
      <c r="G1642" s="1">
        <v>2376.2099625470141</v>
      </c>
      <c r="H1642" s="1">
        <v>2.8159999999999998E-2</v>
      </c>
      <c r="I1642" s="1">
        <v>163.37262913205342</v>
      </c>
      <c r="J1642" s="1">
        <v>21.055464980282991</v>
      </c>
      <c r="K1642" s="1">
        <v>9.2644938554246228E-2</v>
      </c>
      <c r="L1642" s="1">
        <v>91.379937832804103</v>
      </c>
      <c r="M1642" s="1">
        <v>352.6148140254918</v>
      </c>
      <c r="N1642" s="1">
        <v>-13.449651805571472</v>
      </c>
      <c r="O1642" s="1">
        <v>1.4417515843102712E-6</v>
      </c>
    </row>
    <row r="1643" spans="1:15" x14ac:dyDescent="0.25">
      <c r="A1643">
        <v>2628.71</v>
      </c>
      <c r="B1643" s="1">
        <v>0.1</v>
      </c>
      <c r="C1643" s="1">
        <v>3.533078213152721</v>
      </c>
      <c r="D1643" s="1">
        <v>525.70000000000005</v>
      </c>
      <c r="E1643" s="1">
        <v>422.2680013821867</v>
      </c>
      <c r="F1643" s="1">
        <v>188.38770380753456</v>
      </c>
      <c r="G1643" s="1">
        <v>2380.4326424888136</v>
      </c>
      <c r="H1643" s="1">
        <v>2.8159999999999998E-2</v>
      </c>
      <c r="I1643" s="1">
        <v>163.81539461524747</v>
      </c>
      <c r="J1643" s="1">
        <v>21.113400069109336</v>
      </c>
      <c r="K1643" s="1">
        <v>9.2629943137019596E-2</v>
      </c>
      <c r="L1643" s="1">
        <v>91.395453215099096</v>
      </c>
      <c r="M1643" s="1">
        <v>353.30782131527485</v>
      </c>
      <c r="N1643" s="1">
        <v>-13.452761805571471</v>
      </c>
      <c r="O1643" s="1">
        <v>1.4372747020433957E-6</v>
      </c>
    </row>
    <row r="1644" spans="1:15" x14ac:dyDescent="0.25">
      <c r="A1644">
        <v>2632.25</v>
      </c>
      <c r="B1644" s="1">
        <v>0.1</v>
      </c>
      <c r="C1644" s="1">
        <v>3.5400300973026124</v>
      </c>
      <c r="D1644" s="1">
        <v>525.80000000000007</v>
      </c>
      <c r="E1644" s="1">
        <v>423.43152427934962</v>
      </c>
      <c r="F1644" s="1">
        <v>188.89896732910682</v>
      </c>
      <c r="G1644" s="1">
        <v>2384.6669576589697</v>
      </c>
      <c r="H1644" s="1">
        <v>2.8159999999999998E-2</v>
      </c>
      <c r="I1644" s="1">
        <v>164.25997159052775</v>
      </c>
      <c r="J1644" s="1">
        <v>21.171576213967484</v>
      </c>
      <c r="K1644" s="1">
        <v>9.2614959512664782E-2</v>
      </c>
      <c r="L1644" s="1">
        <v>91.410961413914322</v>
      </c>
      <c r="M1644" s="1">
        <v>354.00300973024059</v>
      </c>
      <c r="N1644" s="1">
        <v>-13.455871805571471</v>
      </c>
      <c r="O1644" s="1">
        <v>1.4328117212523708E-6</v>
      </c>
    </row>
    <row r="1645" spans="1:15" x14ac:dyDescent="0.25">
      <c r="A1645">
        <v>2635.8</v>
      </c>
      <c r="B1645" s="1">
        <v>0.1</v>
      </c>
      <c r="C1645" s="1">
        <v>3.5470038962381789</v>
      </c>
      <c r="D1645" s="1">
        <v>525.9</v>
      </c>
      <c r="E1645" s="1">
        <v>424.59989603176319</v>
      </c>
      <c r="F1645" s="1">
        <v>189.41232584715016</v>
      </c>
      <c r="G1645" s="1">
        <v>2388.9129565460275</v>
      </c>
      <c r="H1645" s="1">
        <v>2.8159999999999998E-2</v>
      </c>
      <c r="I1645" s="1">
        <v>164.7063703018697</v>
      </c>
      <c r="J1645" s="1">
        <v>21.229994801588163</v>
      </c>
      <c r="K1645" s="1">
        <v>9.2599987666417582E-2</v>
      </c>
      <c r="L1645" s="1">
        <v>91.426462435126211</v>
      </c>
      <c r="M1645" s="1">
        <v>354.70038962380386</v>
      </c>
      <c r="N1645" s="1">
        <v>-13.458981805571471</v>
      </c>
      <c r="O1645" s="1">
        <v>1.4283625987707648E-6</v>
      </c>
    </row>
    <row r="1646" spans="1:15" x14ac:dyDescent="0.25">
      <c r="A1646">
        <v>2639.35</v>
      </c>
      <c r="B1646" s="1">
        <v>0.1</v>
      </c>
      <c r="C1646" s="1">
        <v>3.5539997141643314</v>
      </c>
      <c r="D1646" s="1">
        <v>526</v>
      </c>
      <c r="E1646" s="1">
        <v>425.77314457914463</v>
      </c>
      <c r="F1646" s="1">
        <v>189.9277912279795</v>
      </c>
      <c r="G1646" s="1">
        <v>2393.1706879179301</v>
      </c>
      <c r="H1646" s="1">
        <v>2.8159999999999998E-2</v>
      </c>
      <c r="I1646" s="1">
        <v>165.15460106780827</v>
      </c>
      <c r="J1646" s="1">
        <v>21.288657228957234</v>
      </c>
      <c r="K1646" s="1">
        <v>9.258502758350716E-2</v>
      </c>
      <c r="L1646" s="1">
        <v>91.441956284637143</v>
      </c>
      <c r="M1646" s="1">
        <v>355.39997141645472</v>
      </c>
      <c r="N1646" s="1">
        <v>-13.46209180557147</v>
      </c>
      <c r="O1646" s="1">
        <v>1.4239272915661857E-6</v>
      </c>
    </row>
    <row r="1647" spans="1:15" x14ac:dyDescent="0.25">
      <c r="A1647">
        <v>2642.91</v>
      </c>
      <c r="B1647" s="1">
        <v>0.1</v>
      </c>
      <c r="C1647" s="1">
        <v>3.5610176559629556</v>
      </c>
      <c r="D1647" s="1">
        <v>526.1</v>
      </c>
      <c r="E1647" s="1">
        <v>426.95129806884501</v>
      </c>
      <c r="F1647" s="1">
        <v>190.44537542442734</v>
      </c>
      <c r="G1647" s="1">
        <v>2397.4402008240945</v>
      </c>
      <c r="H1647" s="1">
        <v>2.8159999999999998E-2</v>
      </c>
      <c r="I1647" s="1">
        <v>165.60467428211075</v>
      </c>
      <c r="J1647" s="1">
        <v>21.347564903442251</v>
      </c>
      <c r="K1647" s="1">
        <v>9.2570079249154405E-2</v>
      </c>
      <c r="L1647" s="1">
        <v>91.45744296837735</v>
      </c>
      <c r="M1647" s="1">
        <v>356.10176559630418</v>
      </c>
      <c r="N1647" s="1">
        <v>-13.46520180557147</v>
      </c>
      <c r="O1647" s="1">
        <v>1.4195057567398636E-6</v>
      </c>
    </row>
    <row r="1648" spans="1:15" x14ac:dyDescent="0.25">
      <c r="A1648">
        <v>2646.48</v>
      </c>
      <c r="B1648" s="1">
        <v>0.1</v>
      </c>
      <c r="C1648" s="1">
        <v>3.5680578271978236</v>
      </c>
      <c r="D1648" s="1">
        <v>526.20000000000005</v>
      </c>
      <c r="E1648" s="1">
        <v>428.13438485704847</v>
      </c>
      <c r="F1648" s="1">
        <v>190.96509047660456</v>
      </c>
      <c r="G1648" s="1">
        <v>2401.7215445975003</v>
      </c>
      <c r="H1648" s="1">
        <v>2.8159999999999998E-2</v>
      </c>
      <c r="I1648" s="1">
        <v>166.05660041443878</v>
      </c>
      <c r="J1648" s="1">
        <v>21.406719242852425</v>
      </c>
      <c r="K1648" s="1">
        <v>9.255514264857341E-2</v>
      </c>
      <c r="L1648" s="1">
        <v>91.472922492303212</v>
      </c>
      <c r="M1648" s="1">
        <v>356.80578271976628</v>
      </c>
      <c r="N1648" s="1">
        <v>-13.468311805571469</v>
      </c>
      <c r="O1648" s="1">
        <v>1.4150979515262377E-6</v>
      </c>
    </row>
    <row r="1649" spans="1:15" x14ac:dyDescent="0.25">
      <c r="A1649">
        <v>2650.06</v>
      </c>
      <c r="B1649" s="1">
        <v>0.1</v>
      </c>
      <c r="C1649" s="1">
        <v>3.5751203341207476</v>
      </c>
      <c r="D1649" s="1">
        <v>526.30000000000007</v>
      </c>
      <c r="E1649" s="1">
        <v>429.32243351103682</v>
      </c>
      <c r="F1649" s="1">
        <v>191.48694851268675</v>
      </c>
      <c r="G1649" s="1">
        <v>2406.0147688567963</v>
      </c>
      <c r="H1649" s="1">
        <v>2.8159999999999998E-2</v>
      </c>
      <c r="I1649" s="1">
        <v>166.510390011032</v>
      </c>
      <c r="J1649" s="1">
        <v>21.466121675551843</v>
      </c>
      <c r="K1649" s="1">
        <v>9.2540217766970523E-2</v>
      </c>
      <c r="L1649" s="1">
        <v>91.488394862398351</v>
      </c>
      <c r="M1649" s="1">
        <v>357.51203341205837</v>
      </c>
      <c r="N1649" s="1">
        <v>-13.471421805571472</v>
      </c>
      <c r="O1649" s="1">
        <v>1.4107038332925357E-6</v>
      </c>
    </row>
    <row r="1650" spans="1:15" x14ac:dyDescent="0.25">
      <c r="A1650">
        <v>2653.64</v>
      </c>
      <c r="B1650" s="1">
        <v>0.1</v>
      </c>
      <c r="C1650" s="1">
        <v>3.5822052836773777</v>
      </c>
      <c r="D1650" s="1">
        <v>526.4</v>
      </c>
      <c r="E1650" s="1">
        <v>430.51547281112158</v>
      </c>
      <c r="F1650" s="1">
        <v>192.01096174971087</v>
      </c>
      <c r="G1650" s="1">
        <v>2410.3199235084376</v>
      </c>
      <c r="H1650" s="1">
        <v>2.8159999999999998E-2</v>
      </c>
      <c r="I1650" s="1">
        <v>166.9660536954008</v>
      </c>
      <c r="J1650" s="1">
        <v>21.525773640556082</v>
      </c>
      <c r="K1650" s="1">
        <v>9.2525304589544222E-2</v>
      </c>
      <c r="L1650" s="1">
        <v>91.503860084673761</v>
      </c>
      <c r="M1650" s="1">
        <v>358.22052836774674</v>
      </c>
      <c r="N1650" s="1">
        <v>-13.474531805571472</v>
      </c>
      <c r="O1650" s="1">
        <v>1.4063233595383819E-6</v>
      </c>
    </row>
    <row r="1651" spans="1:15" x14ac:dyDescent="0.25">
      <c r="A1651">
        <v>2657.23</v>
      </c>
      <c r="B1651" s="1">
        <v>0.1</v>
      </c>
      <c r="C1651" s="1">
        <v>3.5893127835126197</v>
      </c>
      <c r="D1651" s="1">
        <v>526.5</v>
      </c>
      <c r="E1651" s="1">
        <v>431.71353175224249</v>
      </c>
      <c r="F1651" s="1">
        <v>192.53714249436962</v>
      </c>
      <c r="G1651" s="1">
        <v>2414.6370587488277</v>
      </c>
      <c r="H1651" s="1">
        <v>2.8159999999999998E-2</v>
      </c>
      <c r="I1651" s="1">
        <v>167.4236021690171</v>
      </c>
      <c r="J1651" s="1">
        <v>21.585676587612127</v>
      </c>
      <c r="K1651" s="1">
        <v>9.2510403101485839E-2</v>
      </c>
      <c r="L1651" s="1">
        <v>91.519318165167064</v>
      </c>
      <c r="M1651" s="1">
        <v>358.93127835124687</v>
      </c>
      <c r="N1651" s="1">
        <v>-13.477641805571471</v>
      </c>
      <c r="O1651" s="1">
        <v>1.4019564878953576E-6</v>
      </c>
    </row>
    <row r="1652" spans="1:15" x14ac:dyDescent="0.25">
      <c r="A1652">
        <v>2660.82</v>
      </c>
      <c r="B1652" s="1">
        <v>0.1</v>
      </c>
      <c r="C1652" s="1">
        <v>3.5964429419768127</v>
      </c>
      <c r="D1652" s="1">
        <v>526.6</v>
      </c>
      <c r="E1652" s="1">
        <v>432.91663954656553</v>
      </c>
      <c r="F1652" s="1">
        <v>193.06550314382559</v>
      </c>
      <c r="G1652" s="1">
        <v>2418.9662250664924</v>
      </c>
      <c r="H1652" s="1">
        <v>2.8159999999999998E-2</v>
      </c>
      <c r="I1652" s="1">
        <v>167.88304621202229</v>
      </c>
      <c r="J1652" s="1">
        <v>21.645831977328278</v>
      </c>
      <c r="K1652" s="1">
        <v>9.2495513287977837E-2</v>
      </c>
      <c r="L1652" s="1">
        <v>91.534769109944278</v>
      </c>
      <c r="M1652" s="1">
        <v>359.64429419768749</v>
      </c>
      <c r="N1652" s="1">
        <v>-13.480751805571471</v>
      </c>
      <c r="O1652" s="1">
        <v>1.397603176126609E-6</v>
      </c>
    </row>
    <row r="1653" spans="1:15" x14ac:dyDescent="0.25">
      <c r="A1653">
        <v>2664.43</v>
      </c>
      <c r="B1653" s="1">
        <v>0.1</v>
      </c>
      <c r="C1653" s="1">
        <v>3.6035958681310469</v>
      </c>
      <c r="D1653" s="1">
        <v>526.70000000000005</v>
      </c>
      <c r="E1653" s="1">
        <v>434.12482562488196</v>
      </c>
      <c r="F1653" s="1">
        <v>193.59605618651656</v>
      </c>
      <c r="G1653" s="1">
        <v>2423.3074732442633</v>
      </c>
      <c r="H1653" s="1">
        <v>2.8159999999999998E-2</v>
      </c>
      <c r="I1653" s="1">
        <v>168.34439668392747</v>
      </c>
      <c r="J1653" s="1">
        <v>21.7062412812441</v>
      </c>
      <c r="K1653" s="1">
        <v>9.248063513419523E-2</v>
      </c>
      <c r="L1653" s="1">
        <v>91.550212925098364</v>
      </c>
      <c r="M1653" s="1">
        <v>360.35958681309239</v>
      </c>
      <c r="N1653" s="1">
        <v>-13.48386180557147</v>
      </c>
      <c r="O1653" s="1">
        <v>1.393263382126436E-6</v>
      </c>
    </row>
    <row r="1654" spans="1:15" x14ac:dyDescent="0.25">
      <c r="A1654">
        <v>2668.04</v>
      </c>
      <c r="B1654" s="1">
        <v>0.1</v>
      </c>
      <c r="C1654" s="1">
        <v>3.6107716717538096</v>
      </c>
      <c r="D1654" s="1">
        <v>526.80000000000007</v>
      </c>
      <c r="E1654" s="1">
        <v>435.33811963880618</v>
      </c>
      <c r="F1654" s="1">
        <v>194.12881420299198</v>
      </c>
      <c r="G1654" s="1">
        <v>2427.6608543614907</v>
      </c>
      <c r="H1654" s="1">
        <v>2.8159999999999998E-2</v>
      </c>
      <c r="I1654" s="1">
        <v>168.80766452434091</v>
      </c>
      <c r="J1654" s="1">
        <v>21.766905981940312</v>
      </c>
      <c r="K1654" s="1">
        <v>9.2465768625304923E-2</v>
      </c>
      <c r="L1654" s="1">
        <v>91.565649616749951</v>
      </c>
      <c r="M1654" s="1">
        <v>361.07716717538096</v>
      </c>
      <c r="N1654" s="1">
        <v>-13.48697180557147</v>
      </c>
      <c r="O1654" s="1">
        <v>1.3889370639198825E-6</v>
      </c>
    </row>
    <row r="1655" spans="1:15" x14ac:dyDescent="0.25">
      <c r="A1655">
        <v>2671.66</v>
      </c>
      <c r="B1655" s="1">
        <v>0.1</v>
      </c>
      <c r="C1655" s="1">
        <v>3.6179704633465422</v>
      </c>
      <c r="D1655" s="1">
        <v>526.9</v>
      </c>
      <c r="E1655" s="1">
        <v>436.55655146310755</v>
      </c>
      <c r="F1655" s="1">
        <v>194.66378986674405</v>
      </c>
      <c r="G1655" s="1">
        <v>2432.0264197962711</v>
      </c>
      <c r="H1655" s="1">
        <v>2.8159999999999998E-2</v>
      </c>
      <c r="I1655" s="1">
        <v>169.27286075369054</v>
      </c>
      <c r="J1655" s="1">
        <v>21.827827573155378</v>
      </c>
      <c r="K1655" s="1">
        <v>9.2450913746464913E-2</v>
      </c>
      <c r="L1655" s="1">
        <v>91.581079191048119</v>
      </c>
      <c r="M1655" s="1">
        <v>361.79704633464098</v>
      </c>
      <c r="N1655" s="1">
        <v>-13.490081805571469</v>
      </c>
      <c r="O1655" s="1">
        <v>1.384624179662333E-6</v>
      </c>
    </row>
    <row r="1656" spans="1:15" x14ac:dyDescent="0.25">
      <c r="A1656">
        <v>2675.28</v>
      </c>
      <c r="B1656" s="1">
        <v>0.1</v>
      </c>
      <c r="C1656" s="1">
        <v>3.6251923541395374</v>
      </c>
      <c r="D1656" s="1">
        <v>527</v>
      </c>
      <c r="E1656" s="1">
        <v>437.78015119724233</v>
      </c>
      <c r="F1656" s="1">
        <v>195.2009959450431</v>
      </c>
      <c r="G1656" s="1">
        <v>2436.4042212276945</v>
      </c>
      <c r="H1656" s="1">
        <v>2.8159999999999998E-2</v>
      </c>
      <c r="I1656" s="1">
        <v>169.73999647395053</v>
      </c>
      <c r="J1656" s="1">
        <v>21.889007559862119</v>
      </c>
      <c r="K1656" s="1">
        <v>9.2436070482825455E-2</v>
      </c>
      <c r="L1656" s="1">
        <v>91.596501654169288</v>
      </c>
      <c r="M1656" s="1">
        <v>362.51923541394717</v>
      </c>
      <c r="N1656" s="1">
        <v>-13.493191805571472</v>
      </c>
      <c r="O1656" s="1">
        <v>1.3803246876391008E-6</v>
      </c>
    </row>
    <row r="1657" spans="1:15" x14ac:dyDescent="0.25">
      <c r="A1657">
        <v>2678.91</v>
      </c>
      <c r="B1657" s="1">
        <v>0.1</v>
      </c>
      <c r="C1657" s="1">
        <v>3.6324374560986121</v>
      </c>
      <c r="D1657" s="1">
        <v>527.1</v>
      </c>
      <c r="E1657" s="1">
        <v>439.0089491678184</v>
      </c>
      <c r="F1657" s="1">
        <v>195.74044529979938</v>
      </c>
      <c r="G1657" s="1">
        <v>2440.7943106381185</v>
      </c>
      <c r="H1657" s="1">
        <v>2.8159999999999998E-2</v>
      </c>
      <c r="I1657" s="1">
        <v>170.20908286939081</v>
      </c>
      <c r="J1657" s="1">
        <v>21.950447458390922</v>
      </c>
      <c r="K1657" s="1">
        <v>9.2421238819527893E-2</v>
      </c>
      <c r="L1657" s="1">
        <v>91.611917012318344</v>
      </c>
      <c r="M1657" s="1">
        <v>363.24374560986143</v>
      </c>
      <c r="N1657" s="1">
        <v>-13.496301805571472</v>
      </c>
      <c r="O1657" s="1">
        <v>1.3760385462650458E-6</v>
      </c>
    </row>
    <row r="1658" spans="1:15" x14ac:dyDescent="0.25">
      <c r="A1658">
        <v>2682.55</v>
      </c>
      <c r="B1658" s="1">
        <v>0.1</v>
      </c>
      <c r="C1658" s="1">
        <v>3.6397058819309183</v>
      </c>
      <c r="D1658" s="1">
        <v>527.20000000000005</v>
      </c>
      <c r="E1658" s="1">
        <v>440.24297593059367</v>
      </c>
      <c r="F1658" s="1">
        <v>196.28215088842236</v>
      </c>
      <c r="G1658" s="1">
        <v>2445.1967403154572</v>
      </c>
      <c r="H1658" s="1">
        <v>2.8159999999999998E-2</v>
      </c>
      <c r="I1658" s="1">
        <v>170.6801312073238</v>
      </c>
      <c r="J1658" s="1">
        <v>22.012148796529686</v>
      </c>
      <c r="K1658" s="1">
        <v>9.2406418741704924E-2</v>
      </c>
      <c r="L1658" s="1">
        <v>91.627325271728409</v>
      </c>
      <c r="M1658" s="1">
        <v>363.97058819306949</v>
      </c>
      <c r="N1658" s="1">
        <v>-13.499411805571471</v>
      </c>
      <c r="O1658" s="1">
        <v>1.3717657140841412E-6</v>
      </c>
    </row>
    <row r="1659" spans="1:15" x14ac:dyDescent="0.25">
      <c r="A1659">
        <v>2686.2</v>
      </c>
      <c r="B1659" s="1">
        <v>0.1</v>
      </c>
      <c r="C1659" s="1">
        <v>3.6469977450913693</v>
      </c>
      <c r="D1659" s="1">
        <v>527.30000000000007</v>
      </c>
      <c r="E1659" s="1">
        <v>441.48226227274102</v>
      </c>
      <c r="F1659" s="1">
        <v>196.8261257646941</v>
      </c>
      <c r="G1659" s="1">
        <v>2449.6115628554971</v>
      </c>
      <c r="H1659" s="1">
        <v>2.8159999999999998E-2</v>
      </c>
      <c r="I1659" s="1">
        <v>171.15315283886449</v>
      </c>
      <c r="J1659" s="1">
        <v>22.074113113637054</v>
      </c>
      <c r="K1659" s="1">
        <v>9.2391610234480004E-2</v>
      </c>
      <c r="L1659" s="1">
        <v>91.642726438661526</v>
      </c>
      <c r="M1659" s="1">
        <v>364.69977450915394</v>
      </c>
      <c r="N1659" s="1">
        <v>-13.502521805571471</v>
      </c>
      <c r="O1659" s="1">
        <v>1.3675061497690938E-6</v>
      </c>
    </row>
    <row r="1660" spans="1:15" x14ac:dyDescent="0.25">
      <c r="A1660">
        <v>2689.86</v>
      </c>
      <c r="B1660" s="1">
        <v>0.1</v>
      </c>
      <c r="C1660" s="1">
        <v>3.6543131597885123</v>
      </c>
      <c r="D1660" s="1">
        <v>527.4</v>
      </c>
      <c r="E1660" s="1">
        <v>442.7268392145134</v>
      </c>
      <c r="F1660" s="1">
        <v>197.37238307963958</v>
      </c>
      <c r="G1660" s="1">
        <v>2454.0388311642259</v>
      </c>
      <c r="H1660" s="1">
        <v>2.8159999999999998E-2</v>
      </c>
      <c r="I1660" s="1">
        <v>171.62815919968656</v>
      </c>
      <c r="J1660" s="1">
        <v>22.136341960725673</v>
      </c>
      <c r="K1660" s="1">
        <v>9.2376813282968442E-2</v>
      </c>
      <c r="L1660" s="1">
        <v>91.658120519407419</v>
      </c>
      <c r="M1660" s="1">
        <v>365.43131597886713</v>
      </c>
      <c r="N1660" s="1">
        <v>-13.50563180557147</v>
      </c>
      <c r="O1660" s="1">
        <v>1.3632598121209386E-6</v>
      </c>
    </row>
    <row r="1661" spans="1:15" x14ac:dyDescent="0.25">
      <c r="A1661">
        <v>2693.52</v>
      </c>
      <c r="B1661" s="1">
        <v>0.1</v>
      </c>
      <c r="C1661" s="1">
        <v>3.6616522409916628</v>
      </c>
      <c r="D1661" s="1">
        <v>527.5</v>
      </c>
      <c r="E1661" s="1">
        <v>443.97673801190865</v>
      </c>
      <c r="F1661" s="1">
        <v>197.92093608242962</v>
      </c>
      <c r="G1661" s="1">
        <v>2458.4785984601936</v>
      </c>
      <c r="H1661" s="1">
        <v>2.8159999999999998E-2</v>
      </c>
      <c r="I1661" s="1">
        <v>172.10516181080843</v>
      </c>
      <c r="J1661" s="1">
        <v>22.198836900595435</v>
      </c>
      <c r="K1661" s="1">
        <v>9.2362027872276153E-2</v>
      </c>
      <c r="L1661" s="1">
        <v>91.673507520284957</v>
      </c>
      <c r="M1661" s="1">
        <v>366.16522409917707</v>
      </c>
      <c r="N1661" s="1">
        <v>-13.50874180557147</v>
      </c>
      <c r="O1661" s="1">
        <v>1.3590266600686397E-6</v>
      </c>
    </row>
    <row r="1662" spans="1:15" x14ac:dyDescent="0.25">
      <c r="A1662">
        <v>2697.19</v>
      </c>
      <c r="B1662" s="1">
        <v>0.1</v>
      </c>
      <c r="C1662" s="1">
        <v>3.6690151044367112</v>
      </c>
      <c r="D1662" s="1">
        <v>527.6</v>
      </c>
      <c r="E1662" s="1">
        <v>445.23199015906732</v>
      </c>
      <c r="F1662" s="1">
        <v>198.47179812127379</v>
      </c>
      <c r="G1662" s="1">
        <v>2462.9309182768889</v>
      </c>
      <c r="H1662" s="1">
        <v>2.8159999999999998E-2</v>
      </c>
      <c r="I1662" s="1">
        <v>172.58417227936852</v>
      </c>
      <c r="J1662" s="1">
        <v>22.261599507953367</v>
      </c>
      <c r="K1662" s="1">
        <v>9.2347253987498851E-2</v>
      </c>
      <c r="L1662" s="1">
        <v>91.688887447642827</v>
      </c>
      <c r="M1662" s="1">
        <v>366.90151044367667</v>
      </c>
      <c r="N1662" s="1">
        <v>-13.511851805571469</v>
      </c>
      <c r="O1662" s="1">
        <v>1.3548066526686943E-6</v>
      </c>
    </row>
    <row r="1663" spans="1:15" x14ac:dyDescent="0.25">
      <c r="A1663">
        <v>2700.86</v>
      </c>
      <c r="B1663" s="1">
        <v>0.1</v>
      </c>
      <c r="C1663" s="1">
        <v>3.6764018666326681</v>
      </c>
      <c r="D1663" s="1">
        <v>527.70000000000005</v>
      </c>
      <c r="E1663" s="1">
        <v>446.49262738947203</v>
      </c>
      <c r="F1663" s="1">
        <v>199.0249826443241</v>
      </c>
      <c r="G1663" s="1">
        <v>2467.3958444651366</v>
      </c>
      <c r="H1663" s="1">
        <v>2.8159999999999998E-2</v>
      </c>
      <c r="I1663" s="1">
        <v>173.06520229941233</v>
      </c>
      <c r="J1663" s="1">
        <v>22.324631369473604</v>
      </c>
      <c r="K1663" s="1">
        <v>9.2332491613724574E-2</v>
      </c>
      <c r="L1663" s="1">
        <v>91.704260307857069</v>
      </c>
      <c r="M1663" s="1">
        <v>367.64018666326592</v>
      </c>
      <c r="N1663" s="1">
        <v>-13.514961805571472</v>
      </c>
      <c r="O1663" s="1">
        <v>1.3505997491047313E-6</v>
      </c>
    </row>
    <row r="1664" spans="1:15" x14ac:dyDescent="0.25">
      <c r="A1664">
        <v>2704.55</v>
      </c>
      <c r="B1664" s="1">
        <v>0.1</v>
      </c>
      <c r="C1664" s="1">
        <v>3.6838126448689135</v>
      </c>
      <c r="D1664" s="1">
        <v>527.80000000000007</v>
      </c>
      <c r="E1664" s="1">
        <v>447.75868167961085</v>
      </c>
      <c r="F1664" s="1">
        <v>199.58050320061051</v>
      </c>
      <c r="G1664" s="1">
        <v>2471.8734311955259</v>
      </c>
      <c r="H1664" s="1">
        <v>2.8159999999999998E-2</v>
      </c>
      <c r="I1664" s="1">
        <v>173.54826365270486</v>
      </c>
      <c r="J1664" s="1">
        <v>22.387934083980543</v>
      </c>
      <c r="K1664" s="1">
        <v>9.231774073603001E-2</v>
      </c>
      <c r="L1664" s="1">
        <v>91.719626107334804</v>
      </c>
      <c r="M1664" s="1">
        <v>368.38126448687945</v>
      </c>
      <c r="N1664" s="1">
        <v>-13.518071805571472</v>
      </c>
      <c r="O1664" s="1">
        <v>1.3464059086871355E-6</v>
      </c>
    </row>
    <row r="1665" spans="1:15" x14ac:dyDescent="0.25">
      <c r="A1665">
        <v>2708.24</v>
      </c>
      <c r="B1665" s="1">
        <v>0.1</v>
      </c>
      <c r="C1665" s="1">
        <v>3.6912475572206227</v>
      </c>
      <c r="D1665" s="1">
        <v>527.9</v>
      </c>
      <c r="E1665" s="1">
        <v>449.03018524971026</v>
      </c>
      <c r="F1665" s="1">
        <v>200.13837344094725</v>
      </c>
      <c r="G1665" s="1">
        <v>2476.3637329608478</v>
      </c>
      <c r="H1665" s="1">
        <v>2.8159999999999998E-2</v>
      </c>
      <c r="I1665" s="1">
        <v>174.03336820951941</v>
      </c>
      <c r="J1665" s="1">
        <v>22.451509262485516</v>
      </c>
      <c r="K1665" s="1">
        <v>9.2303001339484089E-2</v>
      </c>
      <c r="L1665" s="1">
        <v>91.734984852510593</v>
      </c>
      <c r="M1665" s="1">
        <v>369.12475572207768</v>
      </c>
      <c r="N1665" s="1">
        <v>-13.521181805571471</v>
      </c>
      <c r="O1665" s="1">
        <v>1.3422250908526251E-6</v>
      </c>
    </row>
    <row r="1666" spans="1:15" x14ac:dyDescent="0.25">
      <c r="A1666">
        <v>2711.94</v>
      </c>
      <c r="B1666" s="1">
        <v>0.1</v>
      </c>
      <c r="C1666" s="1">
        <v>3.6987067225570476</v>
      </c>
      <c r="D1666" s="1">
        <v>528</v>
      </c>
      <c r="E1666" s="1">
        <v>450.30717056766537</v>
      </c>
      <c r="F1666" s="1">
        <v>200.69860711889945</v>
      </c>
      <c r="G1666" s="1">
        <v>2480.866804578573</v>
      </c>
      <c r="H1666" s="1">
        <v>2.8159999999999998E-2</v>
      </c>
      <c r="I1666" s="1">
        <v>174.52052792947782</v>
      </c>
      <c r="J1666" s="1">
        <v>22.51535852838327</v>
      </c>
      <c r="K1666" s="1">
        <v>9.2288273409144E-2</v>
      </c>
      <c r="L1666" s="1">
        <v>91.75033654985053</v>
      </c>
      <c r="M1666" s="1">
        <v>369.87067225568353</v>
      </c>
      <c r="N1666" s="1">
        <v>-13.524291805571471</v>
      </c>
      <c r="O1666" s="1">
        <v>1.3380572551638799E-6</v>
      </c>
    </row>
    <row r="1667" spans="1:15" x14ac:dyDescent="0.25">
      <c r="A1667">
        <v>2715.64</v>
      </c>
      <c r="B1667" s="1">
        <v>0.1</v>
      </c>
      <c r="C1667" s="1">
        <v>3.7061902605465393</v>
      </c>
      <c r="D1667" s="1">
        <v>528.1</v>
      </c>
      <c r="E1667" s="1">
        <v>451.58967034963916</v>
      </c>
      <c r="F1667" s="1">
        <v>201.26121809170445</v>
      </c>
      <c r="G1667" s="1">
        <v>2485.3827011933331</v>
      </c>
      <c r="H1667" s="1">
        <v>2.8159999999999998E-2</v>
      </c>
      <c r="I1667" s="1">
        <v>175.00975486235171</v>
      </c>
      <c r="J1667" s="1">
        <v>22.579483517481961</v>
      </c>
      <c r="K1667" s="1">
        <v>9.2273556930059009E-2</v>
      </c>
      <c r="L1667" s="1">
        <v>91.765681205848324</v>
      </c>
      <c r="M1667" s="1">
        <v>370.61902605464638</v>
      </c>
      <c r="N1667" s="1">
        <v>-13.52740180557147</v>
      </c>
      <c r="O1667" s="1">
        <v>1.3339023613091436E-6</v>
      </c>
    </row>
    <row r="1668" spans="1:15" x14ac:dyDescent="0.25">
      <c r="A1668">
        <v>2719.36</v>
      </c>
      <c r="B1668" s="1">
        <v>0.1</v>
      </c>
      <c r="C1668" s="1">
        <v>3.7136982916652292</v>
      </c>
      <c r="D1668" s="1">
        <v>528.20000000000005</v>
      </c>
      <c r="E1668" s="1">
        <v>452.87771756419295</v>
      </c>
      <c r="F1668" s="1">
        <v>201.82622032126105</v>
      </c>
      <c r="G1668" s="1">
        <v>2489.9114782794454</v>
      </c>
      <c r="H1668" s="1">
        <v>2.8159999999999998E-2</v>
      </c>
      <c r="I1668" s="1">
        <v>175.50106114892264</v>
      </c>
      <c r="J1668" s="1">
        <v>22.643885878209648</v>
      </c>
      <c r="K1668" s="1">
        <v>9.2258851887266208E-2</v>
      </c>
      <c r="L1668" s="1">
        <v>91.781018827029669</v>
      </c>
      <c r="M1668" s="1">
        <v>371.36982916654233</v>
      </c>
      <c r="N1668" s="1">
        <v>-13.53051180557147</v>
      </c>
      <c r="O1668" s="1">
        <v>1.329760369101835E-6</v>
      </c>
    </row>
    <row r="1669" spans="1:15" x14ac:dyDescent="0.25">
      <c r="A1669">
        <v>2723.08</v>
      </c>
      <c r="B1669" s="1">
        <v>0.1</v>
      </c>
      <c r="C1669" s="1">
        <v>3.721230937202376</v>
      </c>
      <c r="D1669" s="1">
        <v>528.30000000000007</v>
      </c>
      <c r="E1669" s="1">
        <v>454.17134543301876</v>
      </c>
      <c r="F1669" s="1">
        <v>202.39362787507932</v>
      </c>
      <c r="G1669" s="1">
        <v>2494.4531916434453</v>
      </c>
      <c r="H1669" s="1">
        <v>2.8159999999999998E-2</v>
      </c>
      <c r="I1669" s="1">
        <v>175.99445902180818</v>
      </c>
      <c r="J1669" s="1">
        <v>22.708567271650939</v>
      </c>
      <c r="K1669" s="1">
        <v>9.2244158265794227E-2</v>
      </c>
      <c r="L1669" s="1">
        <v>91.796349419948513</v>
      </c>
      <c r="M1669" s="1">
        <v>372.12309372025629</v>
      </c>
      <c r="N1669" s="1">
        <v>-13.533621805571467</v>
      </c>
      <c r="O1669" s="1">
        <v>1.3256312384801589E-6</v>
      </c>
    </row>
    <row r="1670" spans="1:15" x14ac:dyDescent="0.25">
      <c r="A1670">
        <v>2726.81</v>
      </c>
      <c r="B1670" s="1">
        <v>0.1</v>
      </c>
      <c r="C1670" s="1">
        <v>3.7287883192680686</v>
      </c>
      <c r="D1670" s="1">
        <v>528.4</v>
      </c>
      <c r="E1670" s="1">
        <v>455.4705874346032</v>
      </c>
      <c r="F1670" s="1">
        <v>202.96345492726468</v>
      </c>
      <c r="G1670" s="1">
        <v>2499.0078974266498</v>
      </c>
      <c r="H1670" s="1">
        <v>2.8159999999999998E-2</v>
      </c>
      <c r="I1670" s="1">
        <v>176.48996080631713</v>
      </c>
      <c r="J1670" s="1">
        <v>22.773529371730163</v>
      </c>
      <c r="K1670" s="1">
        <v>9.2229476050660147E-2</v>
      </c>
      <c r="L1670" s="1">
        <v>91.811672991190193</v>
      </c>
      <c r="M1670" s="1">
        <v>372.87883192680056</v>
      </c>
      <c r="N1670" s="1">
        <v>-13.536731805571469</v>
      </c>
      <c r="O1670" s="1">
        <v>1.3215149295067186E-6</v>
      </c>
    </row>
    <row r="1671" spans="1:15" x14ac:dyDescent="0.25">
      <c r="A1671">
        <v>2730.54</v>
      </c>
      <c r="B1671" s="1">
        <v>0.1</v>
      </c>
      <c r="C1671" s="1">
        <v>3.736370560800343</v>
      </c>
      <c r="D1671" s="1">
        <v>528.5</v>
      </c>
      <c r="E1671" s="1">
        <v>456.77547730562651</v>
      </c>
      <c r="F1671" s="1">
        <v>203.53571575951372</v>
      </c>
      <c r="G1671" s="1">
        <v>2503.5756521077446</v>
      </c>
      <c r="H1671" s="1">
        <v>2.8159999999999998E-2</v>
      </c>
      <c r="I1671" s="1">
        <v>176.98757892131627</v>
      </c>
      <c r="J1671" s="1">
        <v>22.838773865281325</v>
      </c>
      <c r="K1671" s="1">
        <v>9.2214805226871643E-2</v>
      </c>
      <c r="L1671" s="1">
        <v>91.826989547369166</v>
      </c>
      <c r="M1671" s="1">
        <v>373.63705608004238</v>
      </c>
      <c r="N1671" s="1">
        <v>-13.539841805571472</v>
      </c>
      <c r="O1671" s="1">
        <v>1.3174114023681258E-6</v>
      </c>
    </row>
    <row r="1672" spans="1:15" x14ac:dyDescent="0.25">
      <c r="A1672">
        <v>2734.29</v>
      </c>
      <c r="B1672" s="1">
        <v>0.1</v>
      </c>
      <c r="C1672" s="1">
        <v>3.7439777855726648</v>
      </c>
      <c r="D1672" s="1">
        <v>528.6</v>
      </c>
      <c r="E1672" s="1">
        <v>458.08604904455927</v>
      </c>
      <c r="F1672" s="1">
        <v>204.11042476213092</v>
      </c>
      <c r="G1672" s="1">
        <v>2508.1565125054017</v>
      </c>
      <c r="H1672" s="1">
        <v>2.8159999999999998E-2</v>
      </c>
      <c r="I1672" s="1">
        <v>177.48732588011387</v>
      </c>
      <c r="J1672" s="1">
        <v>22.904302452227967</v>
      </c>
      <c r="K1672" s="1">
        <v>9.2200145779424314E-2</v>
      </c>
      <c r="L1672" s="1">
        <v>91.842299095131978</v>
      </c>
      <c r="M1672" s="1">
        <v>374.39777855724969</v>
      </c>
      <c r="N1672" s="1">
        <v>-13.542951805571469</v>
      </c>
      <c r="O1672" s="1">
        <v>1.3133206173746329E-6</v>
      </c>
    </row>
    <row r="1673" spans="1:15" x14ac:dyDescent="0.25">
      <c r="A1673">
        <v>2738.04</v>
      </c>
      <c r="B1673" s="1">
        <v>0.1</v>
      </c>
      <c r="C1673" s="1">
        <v>3.7516101181999955</v>
      </c>
      <c r="D1673" s="1">
        <v>528.70000000000005</v>
      </c>
      <c r="E1673" s="1">
        <v>459.40233691306173</v>
      </c>
      <c r="F1673" s="1">
        <v>204.68759643502071</v>
      </c>
      <c r="G1673" s="1">
        <v>2512.7505357809073</v>
      </c>
      <c r="H1673" s="1">
        <v>2.8159999999999998E-2</v>
      </c>
      <c r="I1673" s="1">
        <v>177.98921429132238</v>
      </c>
      <c r="J1673" s="1">
        <v>22.970116845653088</v>
      </c>
      <c r="K1673" s="1">
        <v>9.2185497693304003E-2</v>
      </c>
      <c r="L1673" s="1">
        <v>91.857601641154716</v>
      </c>
      <c r="M1673" s="1">
        <v>375.16101182000057</v>
      </c>
      <c r="N1673" s="1">
        <v>-13.546061805571471</v>
      </c>
      <c r="O1673" s="1">
        <v>1.3092425349597212E-6</v>
      </c>
    </row>
    <row r="1674" spans="1:15" x14ac:dyDescent="0.25">
      <c r="A1674">
        <v>2741.8</v>
      </c>
      <c r="B1674" s="1">
        <v>0.1</v>
      </c>
      <c r="C1674" s="1">
        <v>3.7592676841469816</v>
      </c>
      <c r="D1674" s="1">
        <v>528.80000000000007</v>
      </c>
      <c r="E1674" s="1">
        <v>460.7243754391144</v>
      </c>
      <c r="F1674" s="1">
        <v>205.26724538871989</v>
      </c>
      <c r="G1674" s="1">
        <v>2517.3577794408257</v>
      </c>
      <c r="H1674" s="1">
        <v>2.8159999999999998E-2</v>
      </c>
      <c r="I1674" s="1">
        <v>178.49325685975646</v>
      </c>
      <c r="J1674" s="1">
        <v>23.036218771955721</v>
      </c>
      <c r="K1674" s="1">
        <v>9.2170860953485215E-2</v>
      </c>
      <c r="L1674" s="1">
        <v>91.872897192144691</v>
      </c>
      <c r="M1674" s="1">
        <v>375.92676841468347</v>
      </c>
      <c r="N1674" s="1">
        <v>-13.54917180557147</v>
      </c>
      <c r="O1674" s="1">
        <v>1.3051771156797388E-6</v>
      </c>
    </row>
    <row r="1675" spans="1:15" x14ac:dyDescent="0.25">
      <c r="A1675">
        <v>2745.56</v>
      </c>
      <c r="B1675" s="1">
        <v>0.1</v>
      </c>
      <c r="C1675" s="1">
        <v>3.7669506097351571</v>
      </c>
      <c r="D1675" s="1">
        <v>528.9</v>
      </c>
      <c r="E1675" s="1">
        <v>462.05219941908291</v>
      </c>
      <c r="F1675" s="1">
        <v>205.84938634543599</v>
      </c>
      <c r="G1675" s="1">
        <v>2521.9783013396886</v>
      </c>
      <c r="H1675" s="1">
        <v>2.8159999999999998E-2</v>
      </c>
      <c r="I1675" s="1">
        <v>178.99946638733567</v>
      </c>
      <c r="J1675" s="1">
        <v>23.102609970954148</v>
      </c>
      <c r="K1675" s="1">
        <v>9.2156235544932089E-2</v>
      </c>
      <c r="L1675" s="1">
        <v>91.888185754839512</v>
      </c>
      <c r="M1675" s="1">
        <v>376.69506097349768</v>
      </c>
      <c r="N1675" s="1">
        <v>-13.55228180557147</v>
      </c>
      <c r="O1675" s="1">
        <v>1.3011243202135119E-6</v>
      </c>
    </row>
    <row r="1676" spans="1:15" x14ac:dyDescent="0.25">
      <c r="A1676">
        <v>2749.34</v>
      </c>
      <c r="B1676" s="1">
        <v>0.1</v>
      </c>
      <c r="C1676" s="1">
        <v>3.7746590221509195</v>
      </c>
      <c r="D1676" s="1">
        <v>529</v>
      </c>
      <c r="E1676" s="1">
        <v>463.38584392124903</v>
      </c>
      <c r="F1676" s="1">
        <v>206.43403414011263</v>
      </c>
      <c r="G1676" s="1">
        <v>2526.6121596827079</v>
      </c>
      <c r="H1676" s="1">
        <v>2.8159999999999998E-2</v>
      </c>
      <c r="I1676" s="1">
        <v>179.50785577401101</v>
      </c>
      <c r="J1676" s="1">
        <v>23.169292196062454</v>
      </c>
      <c r="K1676" s="1">
        <v>9.2141621452595926E-2</v>
      </c>
      <c r="L1676" s="1">
        <v>91.903467336009584</v>
      </c>
      <c r="M1676" s="1">
        <v>377.46590221508995</v>
      </c>
      <c r="N1676" s="1">
        <v>-13.555391805571469</v>
      </c>
      <c r="O1676" s="1">
        <v>1.2970841093619657E-6</v>
      </c>
    </row>
    <row r="1677" spans="1:15" x14ac:dyDescent="0.25">
      <c r="A1677">
        <v>2753.12</v>
      </c>
      <c r="B1677" s="1">
        <v>0.1</v>
      </c>
      <c r="C1677" s="1">
        <v>3.7823930494517684</v>
      </c>
      <c r="D1677" s="1">
        <v>529.1</v>
      </c>
      <c r="E1677" s="1">
        <v>464.72534428727562</v>
      </c>
      <c r="F1677" s="1">
        <v>207.02120372146624</v>
      </c>
      <c r="G1677" s="1">
        <v>2531.2594130285124</v>
      </c>
      <c r="H1677" s="1">
        <v>2.8159999999999998E-2</v>
      </c>
      <c r="I1677" s="1">
        <v>180.01843801866636</v>
      </c>
      <c r="J1677" s="1">
        <v>23.236267214363782</v>
      </c>
      <c r="K1677" s="1">
        <v>9.2127018661417787E-2</v>
      </c>
      <c r="L1677" s="1">
        <v>91.918741942455469</v>
      </c>
      <c r="M1677" s="1">
        <v>378.23930494519118</v>
      </c>
      <c r="N1677" s="1">
        <v>-13.558501805571469</v>
      </c>
      <c r="O1677" s="1">
        <v>1.2930564440477455E-6</v>
      </c>
    </row>
    <row r="1678" spans="1:15" x14ac:dyDescent="0.25">
      <c r="A1678">
        <v>2756.91</v>
      </c>
      <c r="B1678" s="1">
        <v>0.1</v>
      </c>
      <c r="C1678" s="1">
        <v>3.7901528205748267</v>
      </c>
      <c r="D1678" s="1">
        <v>529.20000000000005</v>
      </c>
      <c r="E1678" s="1">
        <v>466.07073613527115</v>
      </c>
      <c r="F1678" s="1">
        <v>207.61091015306485</v>
      </c>
      <c r="G1678" s="1">
        <v>2535.9201202919139</v>
      </c>
      <c r="H1678" s="1">
        <v>2.8159999999999998E-2</v>
      </c>
      <c r="I1678" s="1">
        <v>180.5312262200564</v>
      </c>
      <c r="J1678" s="1">
        <v>23.30353680676356</v>
      </c>
      <c r="K1678" s="1">
        <v>9.211242715632724E-2</v>
      </c>
      <c r="L1678" s="1">
        <v>91.934009581009207</v>
      </c>
      <c r="M1678" s="1">
        <v>379.01528205748036</v>
      </c>
      <c r="N1678" s="1">
        <v>-13.56161180557147</v>
      </c>
      <c r="O1678" s="1">
        <v>1.2890412853148339E-6</v>
      </c>
    </row>
    <row r="1679" spans="1:15" x14ac:dyDescent="0.25">
      <c r="A1679">
        <v>2760.71</v>
      </c>
      <c r="B1679" s="1">
        <v>0.1</v>
      </c>
      <c r="C1679" s="1">
        <v>3.7979384653445409</v>
      </c>
      <c r="D1679" s="1">
        <v>529.30000000000007</v>
      </c>
      <c r="E1679" s="1">
        <v>467.42205536285388</v>
      </c>
      <c r="F1679" s="1">
        <v>208.20316861441839</v>
      </c>
      <c r="G1679" s="1">
        <v>2540.5943407466962</v>
      </c>
      <c r="H1679" s="1">
        <v>2.8159999999999998E-2</v>
      </c>
      <c r="I1679" s="1">
        <v>181.04623357775517</v>
      </c>
      <c r="J1679" s="1">
        <v>23.371102768142695</v>
      </c>
      <c r="K1679" s="1">
        <v>9.2097846922241294E-2</v>
      </c>
      <c r="L1679" s="1">
        <v>91.949270258535407</v>
      </c>
      <c r="M1679" s="1">
        <v>379.79384653444868</v>
      </c>
      <c r="N1679" s="1">
        <v>-13.564721805571471</v>
      </c>
      <c r="O1679" s="1">
        <v>1.285038594328191E-6</v>
      </c>
    </row>
    <row r="1680" spans="1:15" x14ac:dyDescent="0.25">
      <c r="A1680">
        <v>2764.52</v>
      </c>
      <c r="B1680" s="1">
        <v>0.1</v>
      </c>
      <c r="C1680" s="1">
        <v>3.8057501144801025</v>
      </c>
      <c r="D1680" s="1">
        <v>529.4</v>
      </c>
      <c r="E1680" s="1">
        <v>468.77933814901684</v>
      </c>
      <c r="F1680" s="1">
        <v>208.79799440207037</v>
      </c>
      <c r="G1680" s="1">
        <v>2545.2821340284372</v>
      </c>
      <c r="H1680" s="1">
        <v>2.8159999999999998E-2</v>
      </c>
      <c r="I1680" s="1">
        <v>181.56347339310474</v>
      </c>
      <c r="J1680" s="1">
        <v>23.438966907450844</v>
      </c>
      <c r="K1680" s="1">
        <v>9.2083277944066178E-2</v>
      </c>
      <c r="L1680" s="1">
        <v>91.964523981929474</v>
      </c>
      <c r="M1680" s="1">
        <v>380.57501144799062</v>
      </c>
      <c r="N1680" s="1">
        <v>-13.567831805571471</v>
      </c>
      <c r="O1680" s="1">
        <v>1.2810483323733548E-6</v>
      </c>
    </row>
    <row r="1681" spans="1:15" x14ac:dyDescent="0.25">
      <c r="A1681">
        <v>2768.33</v>
      </c>
      <c r="B1681" s="1">
        <v>0.1</v>
      </c>
      <c r="C1681" s="1">
        <v>3.8135878996036379</v>
      </c>
      <c r="D1681" s="1">
        <v>529.5</v>
      </c>
      <c r="E1681" s="1">
        <v>470.14262095792515</v>
      </c>
      <c r="F1681" s="1">
        <v>209.39540293071232</v>
      </c>
      <c r="G1681" s="1">
        <v>2549.983560137352</v>
      </c>
      <c r="H1681" s="1">
        <v>2.8159999999999998E-2</v>
      </c>
      <c r="I1681" s="1">
        <v>182.0829590701847</v>
      </c>
      <c r="J1681" s="1">
        <v>23.507131047896259</v>
      </c>
      <c r="K1681" s="1">
        <v>9.2068720206694682E-2</v>
      </c>
      <c r="L1681" s="1">
        <v>91.979770758120353</v>
      </c>
      <c r="M1681" s="1">
        <v>381.35878996035899</v>
      </c>
      <c r="N1681" s="1">
        <v>-13.57094180557147</v>
      </c>
      <c r="O1681" s="1">
        <v>1.2770704608560808E-6</v>
      </c>
    </row>
    <row r="1682" spans="1:15" x14ac:dyDescent="0.25">
      <c r="A1682">
        <v>2772.15</v>
      </c>
      <c r="B1682" s="1">
        <v>0.1</v>
      </c>
      <c r="C1682" s="1">
        <v>3.8214519532476316</v>
      </c>
      <c r="D1682" s="1">
        <v>529.6</v>
      </c>
      <c r="E1682" s="1">
        <v>471.51194054038115</v>
      </c>
      <c r="F1682" s="1">
        <v>209.99540973429484</v>
      </c>
      <c r="G1682" s="1">
        <v>2554.6986794411673</v>
      </c>
      <c r="H1682" s="1">
        <v>2.8159999999999998E-2</v>
      </c>
      <c r="I1682" s="1">
        <v>182.60470411677809</v>
      </c>
      <c r="J1682" s="1">
        <v>23.575597027019057</v>
      </c>
      <c r="K1682" s="1">
        <v>9.2054173695008804E-2</v>
      </c>
      <c r="L1682" s="1">
        <v>91.995010594067722</v>
      </c>
      <c r="M1682" s="1">
        <v>382.14519532475606</v>
      </c>
      <c r="N1682" s="1">
        <v>-13.57405180557147</v>
      </c>
      <c r="O1682" s="1">
        <v>1.2731049413019668E-6</v>
      </c>
    </row>
    <row r="1683" spans="1:15" x14ac:dyDescent="0.25">
      <c r="A1683">
        <v>2775.98</v>
      </c>
      <c r="B1683" s="1">
        <v>0.1</v>
      </c>
      <c r="C1683" s="1">
        <v>3.8293424088636892</v>
      </c>
      <c r="D1683" s="1">
        <v>529.70000000000005</v>
      </c>
      <c r="E1683" s="1">
        <v>472.88733393768825</v>
      </c>
      <c r="F1683" s="1">
        <v>210.59803046717479</v>
      </c>
      <c r="G1683" s="1">
        <v>2559.4275526780211</v>
      </c>
      <c r="H1683" s="1">
        <v>2.8159999999999998E-2</v>
      </c>
      <c r="I1683" s="1">
        <v>183.12872214536941</v>
      </c>
      <c r="J1683" s="1">
        <v>23.644366696884415</v>
      </c>
      <c r="K1683" s="1">
        <v>9.2039638393877382E-2</v>
      </c>
      <c r="L1683" s="1">
        <v>92.010243496764645</v>
      </c>
      <c r="M1683" s="1">
        <v>382.93424088637948</v>
      </c>
      <c r="N1683" s="1">
        <v>-13.577161805571469</v>
      </c>
      <c r="O1683" s="1">
        <v>1.2691517353560808E-6</v>
      </c>
    </row>
    <row r="1684" spans="1:15" x14ac:dyDescent="0.25">
      <c r="A1684">
        <v>2779.82</v>
      </c>
      <c r="B1684" s="1">
        <v>0.1</v>
      </c>
      <c r="C1684" s="1">
        <v>3.8372594008299079</v>
      </c>
      <c r="D1684" s="1">
        <v>529.80000000000007</v>
      </c>
      <c r="E1684" s="1">
        <v>474.26883848404879</v>
      </c>
      <c r="F1684" s="1">
        <v>211.20328090525192</v>
      </c>
      <c r="G1684" s="1">
        <v>2564.1702409593941</v>
      </c>
      <c r="H1684" s="1">
        <v>2.8159999999999998E-2</v>
      </c>
      <c r="I1684" s="1">
        <v>183.65502687413212</v>
      </c>
      <c r="J1684" s="1">
        <v>23.713441924202442</v>
      </c>
      <c r="K1684" s="1">
        <v>9.202511428815667E-2</v>
      </c>
      <c r="L1684" s="1">
        <v>92.025469473236797</v>
      </c>
      <c r="M1684" s="1">
        <v>383.72594008301348</v>
      </c>
      <c r="N1684" s="1">
        <v>-13.580271805571469</v>
      </c>
      <c r="O1684" s="1">
        <v>1.2652108047825881E-6</v>
      </c>
    </row>
    <row r="1685" spans="1:15" x14ac:dyDescent="0.25">
      <c r="A1685">
        <v>2783.66</v>
      </c>
      <c r="B1685" s="1">
        <v>0.1</v>
      </c>
      <c r="C1685" s="1">
        <v>3.8452030644596467</v>
      </c>
      <c r="D1685" s="1">
        <v>529.9</v>
      </c>
      <c r="E1685" s="1">
        <v>475.65649180929535</v>
      </c>
      <c r="F1685" s="1">
        <v>211.81117694713672</v>
      </c>
      <c r="G1685" s="1">
        <v>2568.9268057730642</v>
      </c>
      <c r="H1685" s="1">
        <v>2.8159999999999998E-2</v>
      </c>
      <c r="I1685" s="1">
        <v>184.18363212794495</v>
      </c>
      <c r="J1685" s="1">
        <v>23.78282459046477</v>
      </c>
      <c r="K1685" s="1">
        <v>9.20106013626905E-2</v>
      </c>
      <c r="L1685" s="1">
        <v>92.040688530542468</v>
      </c>
      <c r="M1685" s="1">
        <v>384.52030644598381</v>
      </c>
      <c r="N1685" s="1">
        <v>-13.583381805571472</v>
      </c>
      <c r="O1685" s="1">
        <v>1.2612821114643792E-6</v>
      </c>
    </row>
    <row r="1686" spans="1:15" x14ac:dyDescent="0.25">
      <c r="A1686">
        <v>2787.52</v>
      </c>
      <c r="B1686" s="1">
        <v>0.1</v>
      </c>
      <c r="C1686" s="1">
        <v>3.853173536009062</v>
      </c>
      <c r="D1686" s="1">
        <v>530</v>
      </c>
      <c r="E1686" s="1">
        <v>477.05033184162193</v>
      </c>
      <c r="F1686" s="1">
        <v>212.42173461530828</v>
      </c>
      <c r="G1686" s="1">
        <v>2573.6973089860917</v>
      </c>
      <c r="H1686" s="1">
        <v>2.8159999999999998E-2</v>
      </c>
      <c r="I1686" s="1">
        <v>184.71455183939852</v>
      </c>
      <c r="J1686" s="1">
        <v>23.852516592081098</v>
      </c>
      <c r="K1686" s="1">
        <v>9.1996099602310477E-2</v>
      </c>
      <c r="L1686" s="1">
        <v>92.055900675772278</v>
      </c>
      <c r="M1686" s="1">
        <v>385.31735360088533</v>
      </c>
      <c r="N1686" s="1">
        <v>-13.586491805571471</v>
      </c>
      <c r="O1686" s="1">
        <v>1.2573656174027177E-6</v>
      </c>
    </row>
    <row r="1687" spans="1:15" x14ac:dyDescent="0.25">
      <c r="A1687">
        <v>2791.38</v>
      </c>
      <c r="B1687" s="1">
        <v>0.1</v>
      </c>
      <c r="C1687" s="1">
        <v>3.8611709526867126</v>
      </c>
      <c r="D1687" s="1">
        <v>530.1</v>
      </c>
      <c r="E1687" s="1">
        <v>478.4503968115805</v>
      </c>
      <c r="F1687" s="1">
        <v>213.03497005732439</v>
      </c>
      <c r="G1687" s="1">
        <v>2578.4818128478419</v>
      </c>
      <c r="H1687" s="1">
        <v>2.8159999999999998E-2</v>
      </c>
      <c r="I1687" s="1">
        <v>185.24780004984737</v>
      </c>
      <c r="J1687" s="1">
        <v>23.922519840579028</v>
      </c>
      <c r="K1687" s="1">
        <v>9.1981608991833316E-2</v>
      </c>
      <c r="L1687" s="1">
        <v>92.071105916052005</v>
      </c>
      <c r="M1687" s="1">
        <v>386.11709526867344</v>
      </c>
      <c r="N1687" s="1">
        <v>-13.589601805571471</v>
      </c>
      <c r="O1687" s="1">
        <v>1.2534612847168468E-6</v>
      </c>
    </row>
    <row r="1688" spans="1:15" x14ac:dyDescent="0.25">
      <c r="A1688">
        <v>2795.25</v>
      </c>
      <c r="B1688" s="1">
        <v>0.1</v>
      </c>
      <c r="C1688" s="1">
        <v>3.8691954526605548</v>
      </c>
      <c r="D1688" s="1">
        <v>530.20000000000005</v>
      </c>
      <c r="E1688" s="1">
        <v>479.85672525334701</v>
      </c>
      <c r="F1688" s="1">
        <v>213.6508995469984</v>
      </c>
      <c r="G1688" s="1">
        <v>2583.2803799930216</v>
      </c>
      <c r="H1688" s="1">
        <v>2.8159999999999998E-2</v>
      </c>
      <c r="I1688" s="1">
        <v>185.78339091043341</v>
      </c>
      <c r="J1688" s="1">
        <v>23.992836262667353</v>
      </c>
      <c r="K1688" s="1">
        <v>9.1967129516064547E-2</v>
      </c>
      <c r="L1688" s="1">
        <v>92.08630425853876</v>
      </c>
      <c r="M1688" s="1">
        <v>386.91954526607333</v>
      </c>
      <c r="N1688" s="1">
        <v>-13.59271180557147</v>
      </c>
      <c r="O1688" s="1">
        <v>1.2495690756436392E-6</v>
      </c>
    </row>
    <row r="1689" spans="1:15" x14ac:dyDescent="0.25">
      <c r="A1689">
        <v>2799.12</v>
      </c>
      <c r="B1689" s="1">
        <v>0.1</v>
      </c>
      <c r="C1689" s="1">
        <v>3.8772471750676312</v>
      </c>
      <c r="D1689" s="1">
        <v>530.30000000000007</v>
      </c>
      <c r="E1689" s="1">
        <v>481.26935600885099</v>
      </c>
      <c r="F1689" s="1">
        <v>214.26953948562647</v>
      </c>
      <c r="G1689" s="1">
        <v>2588.0930734447579</v>
      </c>
      <c r="H1689" s="1">
        <v>2.8159999999999998E-2</v>
      </c>
      <c r="I1689" s="1">
        <v>186.3213386831535</v>
      </c>
      <c r="J1689" s="1">
        <v>24.063467800442552</v>
      </c>
      <c r="K1689" s="1">
        <v>9.195266115979564E-2</v>
      </c>
      <c r="L1689" s="1">
        <v>92.101495710424018</v>
      </c>
      <c r="M1689" s="1">
        <v>387.72471750676232</v>
      </c>
      <c r="N1689" s="1">
        <v>-13.59582180557147</v>
      </c>
      <c r="O1689" s="1">
        <v>1.2456889525372295E-6</v>
      </c>
    </row>
    <row r="1690" spans="1:15" x14ac:dyDescent="0.25">
      <c r="A1690">
        <v>2803.01</v>
      </c>
      <c r="B1690" s="1">
        <v>0.1</v>
      </c>
      <c r="C1690" s="1">
        <v>3.8853262600221381</v>
      </c>
      <c r="D1690" s="1">
        <v>530.4</v>
      </c>
      <c r="E1690" s="1">
        <v>482.68832823077366</v>
      </c>
      <c r="F1690" s="1">
        <v>214.89090640320984</v>
      </c>
      <c r="G1690" s="1">
        <v>2592.9199566177012</v>
      </c>
      <c r="H1690" s="1">
        <v>2.8159999999999998E-2</v>
      </c>
      <c r="I1690" s="1">
        <v>186.86165774192165</v>
      </c>
      <c r="J1690" s="1">
        <v>24.134416411538684</v>
      </c>
      <c r="K1690" s="1">
        <v>9.1938203907803981E-2</v>
      </c>
      <c r="L1690" s="1">
        <v>92.116680278933529</v>
      </c>
      <c r="M1690" s="1">
        <v>388.53262600223388</v>
      </c>
      <c r="N1690" s="1">
        <v>-13.598931805571469</v>
      </c>
      <c r="O1690" s="1">
        <v>1.2418208778686492E-6</v>
      </c>
    </row>
    <row r="1691" spans="1:15" x14ac:dyDescent="0.25">
      <c r="A1691">
        <v>2806.9</v>
      </c>
      <c r="B1691" s="1">
        <v>0.1</v>
      </c>
      <c r="C1691" s="1">
        <v>3.8934328486245851</v>
      </c>
      <c r="D1691" s="1">
        <v>530.5</v>
      </c>
      <c r="E1691" s="1">
        <v>484.11368138501223</v>
      </c>
      <c r="F1691" s="1">
        <v>215.51501695970455</v>
      </c>
      <c r="G1691" s="1">
        <v>2597.7610933211663</v>
      </c>
      <c r="H1691" s="1">
        <v>2.8159999999999998E-2</v>
      </c>
      <c r="I1691" s="1">
        <v>187.40436257365616</v>
      </c>
      <c r="J1691" s="1">
        <v>24.205684069250612</v>
      </c>
      <c r="K1691" s="1">
        <v>9.1923757744853923E-2</v>
      </c>
      <c r="L1691" s="1">
        <v>92.131857971326426</v>
      </c>
      <c r="M1691" s="1">
        <v>389.34328486247978</v>
      </c>
      <c r="N1691" s="1">
        <v>-13.602041805571467</v>
      </c>
      <c r="O1691" s="1">
        <v>1.2379648142254625E-6</v>
      </c>
    </row>
    <row r="1692" spans="1:15" x14ac:dyDescent="0.25">
      <c r="A1692">
        <v>2810.8</v>
      </c>
      <c r="B1692" s="1">
        <v>0.1</v>
      </c>
      <c r="C1692" s="1">
        <v>3.9015670829699545</v>
      </c>
      <c r="D1692" s="1">
        <v>530.6</v>
      </c>
      <c r="E1692" s="1">
        <v>485.54545525407724</v>
      </c>
      <c r="F1692" s="1">
        <v>216.14188794626409</v>
      </c>
      <c r="G1692" s="1">
        <v>2602.6165477622903</v>
      </c>
      <c r="H1692" s="1">
        <v>2.8159999999999998E-2</v>
      </c>
      <c r="I1692" s="1">
        <v>187.94946777936013</v>
      </c>
      <c r="J1692" s="1">
        <v>24.277272762703863</v>
      </c>
      <c r="K1692" s="1">
        <v>9.190932265569593E-2</v>
      </c>
      <c r="L1692" s="1">
        <v>92.147028794895988</v>
      </c>
      <c r="M1692" s="1">
        <v>390.15670829699047</v>
      </c>
      <c r="N1692" s="1">
        <v>-13.605151805571472</v>
      </c>
      <c r="O1692" s="1">
        <v>1.2341207243114017E-6</v>
      </c>
    </row>
    <row r="1693" spans="1:15" x14ac:dyDescent="0.25">
      <c r="A1693">
        <v>2814.71</v>
      </c>
      <c r="B1693" s="1">
        <v>0.1</v>
      </c>
      <c r="C1693" s="1">
        <v>3.9097291061573629</v>
      </c>
      <c r="D1693" s="1">
        <v>530.70000000000005</v>
      </c>
      <c r="E1693" s="1">
        <v>486.98368994075645</v>
      </c>
      <c r="F1693" s="1">
        <v>216.77153628652007</v>
      </c>
      <c r="G1693" s="1">
        <v>2607.486384549235</v>
      </c>
      <c r="H1693" s="1">
        <v>2.8159999999999998E-2</v>
      </c>
      <c r="I1693" s="1">
        <v>188.49698807523487</v>
      </c>
      <c r="J1693" s="1">
        <v>24.349184497037825</v>
      </c>
      <c r="K1693" s="1">
        <v>9.1894898625065377E-2</v>
      </c>
      <c r="L1693" s="1">
        <v>92.162192756971038</v>
      </c>
      <c r="M1693" s="1">
        <v>390.97291061575561</v>
      </c>
      <c r="N1693" s="1">
        <v>-13.608261805571471</v>
      </c>
      <c r="O1693" s="1">
        <v>1.2302885709460241E-6</v>
      </c>
    </row>
    <row r="1694" spans="1:15" x14ac:dyDescent="0.25">
      <c r="A1694">
        <v>2818.63</v>
      </c>
      <c r="B1694" s="1">
        <v>0.1</v>
      </c>
      <c r="C1694" s="1">
        <v>3.9179190622984086</v>
      </c>
      <c r="D1694" s="1">
        <v>530.80000000000007</v>
      </c>
      <c r="E1694" s="1">
        <v>488.4284258697802</v>
      </c>
      <c r="F1694" s="1">
        <v>217.40397903785572</v>
      </c>
      <c r="G1694" s="1">
        <v>2612.3706686944138</v>
      </c>
      <c r="H1694" s="1">
        <v>2.8159999999999998E-2</v>
      </c>
      <c r="I1694" s="1">
        <v>189.04693829378763</v>
      </c>
      <c r="J1694" s="1">
        <v>24.421421293489011</v>
      </c>
      <c r="K1694" s="1">
        <v>9.1880485637685402E-2</v>
      </c>
      <c r="L1694" s="1">
        <v>92.177349864912898</v>
      </c>
      <c r="M1694" s="1">
        <v>391.79190622985516</v>
      </c>
      <c r="N1694" s="1">
        <v>-13.611371805571471</v>
      </c>
      <c r="O1694" s="1">
        <v>1.2264683170643245E-6</v>
      </c>
    </row>
    <row r="1695" spans="1:15" x14ac:dyDescent="0.25">
      <c r="A1695">
        <v>2822.56</v>
      </c>
      <c r="B1695" s="1">
        <v>0.1</v>
      </c>
      <c r="C1695" s="1">
        <v>3.9261370965269435</v>
      </c>
      <c r="D1695" s="1">
        <v>530.9</v>
      </c>
      <c r="E1695" s="1">
        <v>489.87970379275049</v>
      </c>
      <c r="F1695" s="1">
        <v>218.0392333927154</v>
      </c>
      <c r="G1695" s="1">
        <v>2617.2694656177528</v>
      </c>
      <c r="H1695" s="1">
        <v>2.8159999999999998E-2</v>
      </c>
      <c r="I1695" s="1">
        <v>189.5993333849699</v>
      </c>
      <c r="J1695" s="1">
        <v>24.493985189637527</v>
      </c>
      <c r="K1695" s="1">
        <v>9.1866083678263044E-2</v>
      </c>
      <c r="L1695" s="1">
        <v>92.192500126119441</v>
      </c>
      <c r="M1695" s="1">
        <v>392.61370965268725</v>
      </c>
      <c r="N1695" s="1">
        <v>-13.61448180557147</v>
      </c>
      <c r="O1695" s="1">
        <v>1.2226599257163959E-6</v>
      </c>
    </row>
    <row r="1696" spans="1:15" x14ac:dyDescent="0.25">
      <c r="A1696">
        <v>2826.49</v>
      </c>
      <c r="B1696" s="1">
        <v>0.1</v>
      </c>
      <c r="C1696" s="1">
        <v>3.9343833550081819</v>
      </c>
      <c r="D1696" s="1">
        <v>531</v>
      </c>
      <c r="E1696" s="1">
        <v>491.33756479047275</v>
      </c>
      <c r="F1696" s="1">
        <v>218.67731667992388</v>
      </c>
      <c r="G1696" s="1">
        <v>2622.1828411499882</v>
      </c>
      <c r="H1696" s="1">
        <v>2.8159999999999998E-2</v>
      </c>
      <c r="I1696" s="1">
        <v>190.15418841732517</v>
      </c>
      <c r="J1696" s="1">
        <v>24.566878239523639</v>
      </c>
      <c r="K1696" s="1">
        <v>9.185169273149113E-2</v>
      </c>
      <c r="L1696" s="1">
        <v>92.207643548023199</v>
      </c>
      <c r="M1696" s="1">
        <v>393.43833550083218</v>
      </c>
      <c r="N1696" s="1">
        <v>-13.61759180557147</v>
      </c>
      <c r="O1696" s="1">
        <v>1.2188633600670661E-6</v>
      </c>
    </row>
    <row r="1697" spans="1:15" x14ac:dyDescent="0.25">
      <c r="A1697">
        <v>2830.43</v>
      </c>
      <c r="B1697" s="1">
        <v>0.1</v>
      </c>
      <c r="C1697" s="1">
        <v>3.9426579849473691</v>
      </c>
      <c r="D1697" s="1">
        <v>531.1</v>
      </c>
      <c r="E1697" s="1">
        <v>492.80205027602</v>
      </c>
      <c r="F1697" s="1">
        <v>219.31824636600112</v>
      </c>
      <c r="G1697" s="1">
        <v>2627.1108615359858</v>
      </c>
      <c r="H1697" s="1">
        <v>2.8159999999999998E-2</v>
      </c>
      <c r="I1697" s="1">
        <v>190.71151857913145</v>
      </c>
      <c r="J1697" s="1">
        <v>24.640102513801001</v>
      </c>
      <c r="K1697" s="1">
        <v>9.1837312782048361E-2</v>
      </c>
      <c r="L1697" s="1">
        <v>92.222780138091252</v>
      </c>
      <c r="M1697" s="1">
        <v>394.26579849473455</v>
      </c>
      <c r="N1697" s="1">
        <v>-13.620701805571469</v>
      </c>
      <c r="O1697" s="1">
        <v>1.2150785833955434E-6</v>
      </c>
    </row>
    <row r="1698" spans="1:15" x14ac:dyDescent="0.25">
      <c r="A1698">
        <v>2834.39</v>
      </c>
      <c r="B1698" s="1">
        <v>0.1</v>
      </c>
      <c r="C1698" s="1">
        <v>3.9509611346001194</v>
      </c>
      <c r="D1698" s="1">
        <v>531.20000000000005</v>
      </c>
      <c r="E1698" s="1">
        <v>494.27320199879608</v>
      </c>
      <c r="F1698" s="1">
        <v>219.96204005652106</v>
      </c>
      <c r="G1698" s="1">
        <v>2632.0535934381051</v>
      </c>
      <c r="H1698" s="1">
        <v>2.8159999999999998E-2</v>
      </c>
      <c r="I1698" s="1">
        <v>191.27133917958361</v>
      </c>
      <c r="J1698" s="1">
        <v>24.713660099939805</v>
      </c>
      <c r="K1698" s="1">
        <v>9.1822943814597602E-2</v>
      </c>
      <c r="L1698" s="1">
        <v>92.237909903827017</v>
      </c>
      <c r="M1698" s="1">
        <v>395.09611346002202</v>
      </c>
      <c r="N1698" s="1">
        <v>-13.623811805571469</v>
      </c>
      <c r="O1698" s="1">
        <v>1.2113055590950596E-6</v>
      </c>
    </row>
    <row r="1699" spans="1:15" x14ac:dyDescent="0.25">
      <c r="A1699">
        <v>2838.34</v>
      </c>
      <c r="B1699" s="1">
        <v>0.1</v>
      </c>
      <c r="C1699" s="1">
        <v>3.9592929532812837</v>
      </c>
      <c r="D1699" s="1">
        <v>531.30000000000007</v>
      </c>
      <c r="E1699" s="1">
        <v>495.75106204720055</v>
      </c>
      <c r="F1699" s="1">
        <v>220.60871549746483</v>
      </c>
      <c r="G1699" s="1">
        <v>2637.0111039395906</v>
      </c>
      <c r="H1699" s="1">
        <v>2.8159999999999998E-2</v>
      </c>
      <c r="I1699" s="1">
        <v>191.83366564996945</v>
      </c>
      <c r="J1699" s="1">
        <v>24.787553102360029</v>
      </c>
      <c r="K1699" s="1">
        <v>9.1808585813787202E-2</v>
      </c>
      <c r="L1699" s="1">
        <v>92.253032852768953</v>
      </c>
      <c r="M1699" s="1">
        <v>395.92929532814196</v>
      </c>
      <c r="N1699" s="1">
        <v>-13.626921805571472</v>
      </c>
      <c r="O1699" s="1">
        <v>1.2075442506725127E-6</v>
      </c>
    </row>
    <row r="1700" spans="1:15" x14ac:dyDescent="0.25">
      <c r="A1700">
        <v>2842.31</v>
      </c>
      <c r="B1700" s="1">
        <v>0.1</v>
      </c>
      <c r="C1700" s="1">
        <v>3.9676535913747548</v>
      </c>
      <c r="D1700" s="1">
        <v>531.4</v>
      </c>
      <c r="E1700" s="1">
        <v>497.235672852292</v>
      </c>
      <c r="F1700" s="1">
        <v>221.25829057659561</v>
      </c>
      <c r="G1700" s="1">
        <v>2641.9834605479946</v>
      </c>
      <c r="H1700" s="1">
        <v>2.8159999999999998E-2</v>
      </c>
      <c r="I1700" s="1">
        <v>192.39851354486578</v>
      </c>
      <c r="J1700" s="1">
        <v>24.861783642614601</v>
      </c>
      <c r="K1700" s="1">
        <v>9.1794238764250177E-2</v>
      </c>
      <c r="L1700" s="1">
        <v>92.268148992491405</v>
      </c>
      <c r="M1700" s="1">
        <v>396.76535913745283</v>
      </c>
      <c r="N1700" s="1">
        <v>-13.630031805571472</v>
      </c>
      <c r="O1700" s="1">
        <v>1.2037946217481311E-6</v>
      </c>
    </row>
    <row r="1701" spans="1:15" x14ac:dyDescent="0.25">
      <c r="A1701">
        <v>2846.29</v>
      </c>
      <c r="B1701" s="1">
        <v>0.1</v>
      </c>
      <c r="C1701" s="1">
        <v>3.9760432003437427</v>
      </c>
      <c r="D1701" s="1">
        <v>531.5</v>
      </c>
      <c r="E1701" s="1">
        <v>498.72707719145205</v>
      </c>
      <c r="F1701" s="1">
        <v>221.91078332486552</v>
      </c>
      <c r="G1701" s="1">
        <v>2646.9707311986463</v>
      </c>
      <c r="H1701" s="1">
        <v>2.8159999999999998E-2</v>
      </c>
      <c r="I1701" s="1">
        <v>192.96589854336139</v>
      </c>
      <c r="J1701" s="1">
        <v>24.936353859572606</v>
      </c>
      <c r="K1701" s="1">
        <v>9.1779902650603498E-2</v>
      </c>
      <c r="L1701" s="1">
        <v>92.283258330605307</v>
      </c>
      <c r="M1701" s="1">
        <v>397.60432003436108</v>
      </c>
      <c r="N1701" s="1">
        <v>-13.633141805571471</v>
      </c>
      <c r="O1701" s="1">
        <v>1.2000566360550948E-6</v>
      </c>
    </row>
    <row r="1702" spans="1:15" x14ac:dyDescent="0.25">
      <c r="A1702">
        <v>2850.27</v>
      </c>
      <c r="B1702" s="1">
        <v>0.1</v>
      </c>
      <c r="C1702" s="1">
        <v>3.984461932739491</v>
      </c>
      <c r="D1702" s="1">
        <v>531.6</v>
      </c>
      <c r="E1702" s="1">
        <v>500.22531819118308</v>
      </c>
      <c r="F1702" s="1">
        <v>222.56621191780346</v>
      </c>
      <c r="G1702" s="1">
        <v>2651.9729842581373</v>
      </c>
      <c r="H1702" s="1">
        <v>2.8159999999999998E-2</v>
      </c>
      <c r="I1702" s="1">
        <v>193.53583645026393</v>
      </c>
      <c r="J1702" s="1">
        <v>25.011265909559157</v>
      </c>
      <c r="K1702" s="1">
        <v>9.1765577457449357E-2</v>
      </c>
      <c r="L1702" s="1">
        <v>92.298360874756995</v>
      </c>
      <c r="M1702" s="1">
        <v>398.44619327395776</v>
      </c>
      <c r="N1702" s="1">
        <v>-13.636251805571471</v>
      </c>
      <c r="O1702" s="1">
        <v>1.1963302574392034E-6</v>
      </c>
    </row>
    <row r="1703" spans="1:15" x14ac:dyDescent="0.25">
      <c r="A1703">
        <v>2854.27</v>
      </c>
      <c r="B1703" s="1">
        <v>0.1</v>
      </c>
      <c r="C1703" s="1">
        <v>3.9929099422125445</v>
      </c>
      <c r="D1703" s="1">
        <v>531.70000000000005</v>
      </c>
      <c r="E1703" s="1">
        <v>501.73043933150473</v>
      </c>
      <c r="F1703" s="1">
        <v>223.22459467696069</v>
      </c>
      <c r="G1703" s="1">
        <v>2656.9902885278607</v>
      </c>
      <c r="H1703" s="1">
        <v>2.8159999999999998E-2</v>
      </c>
      <c r="I1703" s="1">
        <v>194.10834319735719</v>
      </c>
      <c r="J1703" s="1">
        <v>25.086521966575237</v>
      </c>
      <c r="K1703" s="1">
        <v>9.1751263169373168E-2</v>
      </c>
      <c r="L1703" s="1">
        <v>92.313456632630263</v>
      </c>
      <c r="M1703" s="1">
        <v>399.29099422124636</v>
      </c>
      <c r="N1703" s="1">
        <v>-13.63936180557147</v>
      </c>
      <c r="O1703" s="1">
        <v>1.1926154498585215E-6</v>
      </c>
    </row>
    <row r="1704" spans="1:15" x14ac:dyDescent="0.25">
      <c r="A1704">
        <v>2858.27</v>
      </c>
      <c r="B1704" s="1">
        <v>0.1</v>
      </c>
      <c r="C1704" s="1">
        <v>4.001387383521922</v>
      </c>
      <c r="D1704" s="1">
        <v>531.80000000000007</v>
      </c>
      <c r="E1704" s="1">
        <v>503.24248444881812</v>
      </c>
      <c r="F1704" s="1">
        <v>223.88595007134398</v>
      </c>
      <c r="G1704" s="1">
        <v>2662.0227132475725</v>
      </c>
      <c r="H1704" s="1">
        <v>2.8159999999999998E-2</v>
      </c>
      <c r="I1704" s="1">
        <v>194.68343484464697</v>
      </c>
      <c r="J1704" s="1">
        <v>25.162124222440909</v>
      </c>
      <c r="K1704" s="1">
        <v>9.1736959770944662E-2</v>
      </c>
      <c r="L1704" s="1">
        <v>92.328545611945188</v>
      </c>
      <c r="M1704" s="1">
        <v>400.13873835218874</v>
      </c>
      <c r="N1704" s="1">
        <v>-13.64247180557147</v>
      </c>
      <c r="O1704" s="1">
        <v>1.1889121773830295E-6</v>
      </c>
    </row>
    <row r="1705" spans="1:15" x14ac:dyDescent="0.25">
      <c r="A1705">
        <v>2862.28</v>
      </c>
      <c r="B1705" s="1">
        <v>0.1</v>
      </c>
      <c r="C1705" s="1">
        <v>4.0098944280596669</v>
      </c>
      <c r="D1705" s="1">
        <v>531.9</v>
      </c>
      <c r="E1705" s="1">
        <v>504.76149969354015</v>
      </c>
      <c r="F1705" s="1">
        <v>224.55029718245999</v>
      </c>
      <c r="G1705" s="1">
        <v>2667.0703282249701</v>
      </c>
      <c r="H1705" s="1">
        <v>2.8159999999999998E-2</v>
      </c>
      <c r="I1705" s="1">
        <v>195.26112798474784</v>
      </c>
      <c r="J1705" s="1">
        <v>25.238074984677009</v>
      </c>
      <c r="K1705" s="1">
        <v>9.1722667241700945E-2</v>
      </c>
      <c r="L1705" s="1">
        <v>92.343627825753245</v>
      </c>
      <c r="M1705" s="1">
        <v>400.98944280598516</v>
      </c>
      <c r="N1705" s="1">
        <v>-13.645581805571469</v>
      </c>
      <c r="O1705" s="1">
        <v>1.1852204041942768E-6</v>
      </c>
    </row>
    <row r="1706" spans="1:15" x14ac:dyDescent="0.25">
      <c r="A1706">
        <v>2866.3</v>
      </c>
      <c r="B1706" s="1">
        <v>0.1</v>
      </c>
      <c r="C1706" s="1">
        <v>4.0184312027260631</v>
      </c>
      <c r="D1706" s="1">
        <v>532</v>
      </c>
      <c r="E1706" s="1">
        <v>506.28752583832261</v>
      </c>
      <c r="F1706" s="1">
        <v>225.21765428605718</v>
      </c>
      <c r="G1706" s="1">
        <v>2672.1332034636102</v>
      </c>
      <c r="H1706" s="1">
        <v>2.8159999999999998E-2</v>
      </c>
      <c r="I1706" s="1">
        <v>195.84143850961502</v>
      </c>
      <c r="J1706" s="1">
        <v>25.314376291916133</v>
      </c>
      <c r="K1706" s="1">
        <v>9.1708385574892692E-2</v>
      </c>
      <c r="L1706" s="1">
        <v>92.358703272654211</v>
      </c>
      <c r="M1706" s="1">
        <v>401.84312027258784</v>
      </c>
      <c r="N1706" s="1">
        <v>-13.648691805571472</v>
      </c>
      <c r="O1706" s="1">
        <v>1.181540094585031E-6</v>
      </c>
    </row>
    <row r="1707" spans="1:15" x14ac:dyDescent="0.25">
      <c r="A1707">
        <v>2870.32</v>
      </c>
      <c r="B1707" s="1">
        <v>0.1</v>
      </c>
      <c r="C1707" s="1">
        <v>4.0269978802285875</v>
      </c>
      <c r="D1707" s="1">
        <v>532.1</v>
      </c>
      <c r="E1707" s="1">
        <v>507.8206096412963</v>
      </c>
      <c r="F1707" s="1">
        <v>225.88804030455123</v>
      </c>
      <c r="G1707" s="1">
        <v>2677.2114095400716</v>
      </c>
      <c r="H1707" s="1">
        <v>2.8159999999999998E-2</v>
      </c>
      <c r="I1707" s="1">
        <v>196.42438287352286</v>
      </c>
      <c r="J1707" s="1">
        <v>25.391030482064817</v>
      </c>
      <c r="K1707" s="1">
        <v>9.1694114751410191E-2</v>
      </c>
      <c r="L1707" s="1">
        <v>92.373771964309782</v>
      </c>
      <c r="M1707" s="1">
        <v>402.69978802284641</v>
      </c>
      <c r="N1707" s="1">
        <v>-13.651801805571472</v>
      </c>
      <c r="O1707" s="1">
        <v>1.1778712129589497E-6</v>
      </c>
    </row>
    <row r="1708" spans="1:15" x14ac:dyDescent="0.25">
      <c r="A1708">
        <v>2874.36</v>
      </c>
      <c r="B1708" s="1">
        <v>0.1</v>
      </c>
      <c r="C1708" s="1">
        <v>4.0355946198677284</v>
      </c>
      <c r="D1708" s="1">
        <v>532.20000000000005</v>
      </c>
      <c r="E1708" s="1">
        <v>509.36079640275801</v>
      </c>
      <c r="F1708" s="1">
        <v>226.56147431361049</v>
      </c>
      <c r="G1708" s="1">
        <v>2682.3050174839368</v>
      </c>
      <c r="H1708" s="1">
        <v>2.8159999999999998E-2</v>
      </c>
      <c r="I1708" s="1">
        <v>197.00997766400917</v>
      </c>
      <c r="J1708" s="1">
        <v>25.468039820137903</v>
      </c>
      <c r="K1708" s="1">
        <v>9.1679854755750176E-2</v>
      </c>
      <c r="L1708" s="1">
        <v>92.388833908596354</v>
      </c>
      <c r="M1708" s="1">
        <v>403.55946198678794</v>
      </c>
      <c r="N1708" s="1">
        <v>-13.654911805571469</v>
      </c>
      <c r="O1708" s="1">
        <v>1.1742137238302094E-6</v>
      </c>
    </row>
    <row r="1709" spans="1:15" x14ac:dyDescent="0.25">
      <c r="A1709">
        <v>2878.4</v>
      </c>
      <c r="B1709" s="1">
        <v>0.1</v>
      </c>
      <c r="C1709" s="1">
        <v>4.044221582103587</v>
      </c>
      <c r="D1709" s="1">
        <v>532.30000000000007</v>
      </c>
      <c r="E1709" s="1">
        <v>510.90813179690554</v>
      </c>
      <c r="F1709" s="1">
        <v>227.23797554366519</v>
      </c>
      <c r="G1709" s="1">
        <v>2687.4140987815304</v>
      </c>
      <c r="H1709" s="1">
        <v>2.8159999999999998E-2</v>
      </c>
      <c r="I1709" s="1">
        <v>197.59823960318715</v>
      </c>
      <c r="J1709" s="1">
        <v>25.545406589845278</v>
      </c>
      <c r="K1709" s="1">
        <v>9.1665605572395017E-2</v>
      </c>
      <c r="L1709" s="1">
        <v>92.40388911342545</v>
      </c>
      <c r="M1709" s="1">
        <v>404.42215821035461</v>
      </c>
      <c r="N1709" s="1">
        <v>-13.658021805571471</v>
      </c>
      <c r="O1709" s="1">
        <v>1.1705675918231811E-6</v>
      </c>
    </row>
    <row r="1710" spans="1:15" x14ac:dyDescent="0.25">
      <c r="A1710">
        <v>2882.46</v>
      </c>
      <c r="B1710" s="1">
        <v>0.1</v>
      </c>
      <c r="C1710" s="1">
        <v>4.052878928567984</v>
      </c>
      <c r="D1710" s="1">
        <v>532.4</v>
      </c>
      <c r="E1710" s="1">
        <v>512.46266187729987</v>
      </c>
      <c r="F1710" s="1">
        <v>227.91756338147732</v>
      </c>
      <c r="G1710" s="1">
        <v>2692.5387253797112</v>
      </c>
      <c r="H1710" s="1">
        <v>2.8159999999999998E-2</v>
      </c>
      <c r="I1710" s="1">
        <v>198.18918554911073</v>
      </c>
      <c r="J1710" s="1">
        <v>25.623133093864993</v>
      </c>
      <c r="K1710" s="1">
        <v>9.1651367185809185E-2</v>
      </c>
      <c r="L1710" s="1">
        <v>92.41893758674739</v>
      </c>
      <c r="M1710" s="1">
        <v>405.28789285681341</v>
      </c>
      <c r="N1710" s="1">
        <v>-13.66113180557147</v>
      </c>
      <c r="O1710" s="1">
        <v>1.1669327816720832E-6</v>
      </c>
    </row>
    <row r="1711" spans="1:15" x14ac:dyDescent="0.25">
      <c r="A1711">
        <v>2886.52</v>
      </c>
      <c r="B1711" s="1">
        <v>0.1</v>
      </c>
      <c r="C1711" s="1">
        <v>4.061566822075382</v>
      </c>
      <c r="D1711" s="1">
        <v>532.5</v>
      </c>
      <c r="E1711" s="1">
        <v>514.02443308026238</v>
      </c>
      <c r="F1711" s="1">
        <v>228.600257371727</v>
      </c>
      <c r="G1711" s="1">
        <v>2697.6789696897026</v>
      </c>
      <c r="H1711" s="1">
        <v>2.8159999999999998E-2</v>
      </c>
      <c r="I1711" s="1">
        <v>198.78283249715398</v>
      </c>
      <c r="J1711" s="1">
        <v>25.701221654013121</v>
      </c>
      <c r="K1711" s="1">
        <v>9.1637139580439883E-2</v>
      </c>
      <c r="L1711" s="1">
        <v>92.433979336550593</v>
      </c>
      <c r="M1711" s="1">
        <v>406.15668220752923</v>
      </c>
      <c r="N1711" s="1">
        <v>-13.664241805571468</v>
      </c>
      <c r="O1711" s="1">
        <v>1.1633092582206405E-6</v>
      </c>
    </row>
    <row r="1712" spans="1:15" x14ac:dyDescent="0.25">
      <c r="A1712">
        <v>2890.59</v>
      </c>
      <c r="B1712" s="1">
        <v>0.1</v>
      </c>
      <c r="C1712" s="1">
        <v>4.0702854266332826</v>
      </c>
      <c r="D1712" s="1">
        <v>532.6</v>
      </c>
      <c r="E1712" s="1">
        <v>515.59349222853882</v>
      </c>
      <c r="F1712" s="1">
        <v>229.28607721859697</v>
      </c>
      <c r="G1712" s="1">
        <v>2702.8349045909545</v>
      </c>
      <c r="H1712" s="1">
        <v>2.8159999999999998E-2</v>
      </c>
      <c r="I1712" s="1">
        <v>199.37919758138869</v>
      </c>
      <c r="J1712" s="1">
        <v>25.779674611426941</v>
      </c>
      <c r="K1712" s="1">
        <v>9.162292274071733E-2</v>
      </c>
      <c r="L1712" s="1">
        <v>92.449014370861462</v>
      </c>
      <c r="M1712" s="1">
        <v>407.02854266332906</v>
      </c>
      <c r="N1712" s="1">
        <v>-13.667351805571469</v>
      </c>
      <c r="O1712" s="1">
        <v>1.1596969864217427E-6</v>
      </c>
    </row>
    <row r="1713" spans="1:15" x14ac:dyDescent="0.25">
      <c r="A1713">
        <v>2894.67</v>
      </c>
      <c r="B1713" s="1">
        <v>0.1</v>
      </c>
      <c r="C1713" s="1">
        <v>4.0790349074537486</v>
      </c>
      <c r="D1713" s="1">
        <v>532.70000000000005</v>
      </c>
      <c r="E1713" s="1">
        <v>517.1698865354291</v>
      </c>
      <c r="F1713" s="1">
        <v>229.97504278738722</v>
      </c>
      <c r="G1713" s="1">
        <v>2708.0066034350521</v>
      </c>
      <c r="H1713" s="1">
        <v>2.8159999999999998E-2</v>
      </c>
      <c r="I1713" s="1">
        <v>199.97829807598893</v>
      </c>
      <c r="J1713" s="1">
        <v>25.858494326771456</v>
      </c>
      <c r="K1713" s="1">
        <v>9.1608716651054231E-2</v>
      </c>
      <c r="L1713" s="1">
        <v>92.464042697744787</v>
      </c>
      <c r="M1713" s="1">
        <v>407.90349074536607</v>
      </c>
      <c r="N1713" s="1">
        <v>-13.670461805571472</v>
      </c>
      <c r="O1713" s="1">
        <v>1.1560959313371041E-6</v>
      </c>
    </row>
    <row r="1714" spans="1:15" x14ac:dyDescent="0.25">
      <c r="A1714">
        <v>2898.75</v>
      </c>
      <c r="B1714" s="1">
        <v>0.1</v>
      </c>
      <c r="C1714" s="1">
        <v>4.0878154309646577</v>
      </c>
      <c r="D1714" s="1">
        <v>532.80000000000007</v>
      </c>
      <c r="E1714" s="1">
        <v>518.75366360918383</v>
      </c>
      <c r="F1714" s="1">
        <v>230.66717410614766</v>
      </c>
      <c r="G1714" s="1">
        <v>2713.194140049658</v>
      </c>
      <c r="H1714" s="1">
        <v>2.8159999999999998E-2</v>
      </c>
      <c r="I1714" s="1">
        <v>200.58015139665017</v>
      </c>
      <c r="J1714" s="1">
        <v>25.937683180459192</v>
      </c>
      <c r="K1714" s="1">
        <v>9.1594521295844764E-2</v>
      </c>
      <c r="L1714" s="1">
        <v>92.479064325305004</v>
      </c>
      <c r="M1714" s="1">
        <v>408.7815430964838</v>
      </c>
      <c r="N1714" s="1">
        <v>-13.673571805571472</v>
      </c>
      <c r="O1714" s="1">
        <v>1.1525060581369397E-6</v>
      </c>
    </row>
    <row r="1715" spans="1:15" x14ac:dyDescent="0.25">
      <c r="A1715">
        <v>2902.85</v>
      </c>
      <c r="B1715" s="1">
        <v>0.1</v>
      </c>
      <c r="C1715" s="1">
        <v>4.0966271648210437</v>
      </c>
      <c r="D1715" s="1">
        <v>532.9</v>
      </c>
      <c r="E1715" s="1">
        <v>520.34487145606874</v>
      </c>
      <c r="F1715" s="1">
        <v>231.36249136732681</v>
      </c>
      <c r="G1715" s="1">
        <v>2718.3975887425031</v>
      </c>
      <c r="H1715" s="1">
        <v>2.8159999999999998E-2</v>
      </c>
      <c r="I1715" s="1">
        <v>201.18477510202339</v>
      </c>
      <c r="J1715" s="1">
        <v>26.017243572803437</v>
      </c>
      <c r="K1715" s="1">
        <v>9.1580336659466258E-2</v>
      </c>
      <c r="L1715" s="1">
        <v>92.494079261684334</v>
      </c>
      <c r="M1715" s="1">
        <v>409.66271648212569</v>
      </c>
      <c r="N1715" s="1">
        <v>-13.676681805571469</v>
      </c>
      <c r="O1715" s="1">
        <v>1.1489273320996053E-6</v>
      </c>
    </row>
    <row r="1716" spans="1:15" x14ac:dyDescent="0.25">
      <c r="A1716">
        <v>2906.96</v>
      </c>
      <c r="B1716" s="1">
        <v>0.1</v>
      </c>
      <c r="C1716" s="1">
        <v>4.105470277916651</v>
      </c>
      <c r="D1716" s="1">
        <v>533</v>
      </c>
      <c r="E1716" s="1">
        <v>521.94355848562691</v>
      </c>
      <c r="F1716" s="1">
        <v>232.06101492944148</v>
      </c>
      <c r="G1716" s="1">
        <v>2723.6170243054116</v>
      </c>
      <c r="H1716" s="1">
        <v>2.8159999999999998E-2</v>
      </c>
      <c r="I1716" s="1">
        <v>201.79218689516654</v>
      </c>
      <c r="J1716" s="1">
        <v>26.097177924281347</v>
      </c>
      <c r="K1716" s="1">
        <v>9.156616272627674E-2</v>
      </c>
      <c r="L1716" s="1">
        <v>92.509087515065431</v>
      </c>
      <c r="M1716" s="1">
        <v>410.54702779165382</v>
      </c>
      <c r="N1716" s="1">
        <v>-13.679791805571471</v>
      </c>
      <c r="O1716" s="1">
        <v>1.1453597186112758E-6</v>
      </c>
    </row>
    <row r="1717" spans="1:15" x14ac:dyDescent="0.25">
      <c r="A1717">
        <v>2911.07</v>
      </c>
      <c r="B1717" s="1">
        <v>0.1</v>
      </c>
      <c r="C1717" s="1">
        <v>4.1143449403956494</v>
      </c>
      <c r="D1717" s="1">
        <v>533.1</v>
      </c>
      <c r="E1717" s="1">
        <v>523.54977351407592</v>
      </c>
      <c r="F1717" s="1">
        <v>232.76276531876604</v>
      </c>
      <c r="G1717" s="1">
        <v>2728.8525220183678</v>
      </c>
      <c r="H1717" s="1">
        <v>2.8159999999999998E-2</v>
      </c>
      <c r="I1717" s="1">
        <v>202.40240462501399</v>
      </c>
      <c r="J1717" s="1">
        <v>26.177488675703799</v>
      </c>
      <c r="K1717" s="1">
        <v>9.1551999480616181E-2</v>
      </c>
      <c r="L1717" s="1">
        <v>92.524089093670085</v>
      </c>
      <c r="M1717" s="1">
        <v>411.43449403957675</v>
      </c>
      <c r="N1717" s="1">
        <v>-13.68290180557147</v>
      </c>
      <c r="O1717" s="1">
        <v>1.1418031831656102E-6</v>
      </c>
    </row>
    <row r="1718" spans="1:15" x14ac:dyDescent="0.25">
      <c r="A1718">
        <v>2915.19</v>
      </c>
      <c r="B1718" s="1">
        <v>0.1</v>
      </c>
      <c r="C1718" s="1">
        <v>4.1232513236642578</v>
      </c>
      <c r="D1718" s="1">
        <v>533.20000000000005</v>
      </c>
      <c r="E1718" s="1">
        <v>525.16356576877138</v>
      </c>
      <c r="F1718" s="1">
        <v>233.46776323103745</v>
      </c>
      <c r="G1718" s="1">
        <v>2734.1041576536322</v>
      </c>
      <c r="H1718" s="1">
        <v>2.8159999999999998E-2</v>
      </c>
      <c r="I1718" s="1">
        <v>203.01544628785865</v>
      </c>
      <c r="J1718" s="1">
        <v>26.258178288438572</v>
      </c>
      <c r="K1718" s="1">
        <v>9.1537846906805775E-2</v>
      </c>
      <c r="L1718" s="1">
        <v>92.53908400576006</v>
      </c>
      <c r="M1718" s="1">
        <v>412.32513236641353</v>
      </c>
      <c r="N1718" s="1">
        <v>-13.68601180557147</v>
      </c>
      <c r="O1718" s="1">
        <v>1.1382576913634137E-6</v>
      </c>
    </row>
    <row r="1719" spans="1:15" x14ac:dyDescent="0.25">
      <c r="A1719">
        <v>2919.33</v>
      </c>
      <c r="B1719" s="1">
        <v>0.1</v>
      </c>
      <c r="C1719" s="1">
        <v>4.1321896004029162</v>
      </c>
      <c r="D1719" s="1">
        <v>533.30000000000007</v>
      </c>
      <c r="E1719" s="1">
        <v>526.78498489253661</v>
      </c>
      <c r="F1719" s="1">
        <v>234.17602953318695</v>
      </c>
      <c r="G1719" s="1">
        <v>2739.3720074798912</v>
      </c>
      <c r="H1719" s="1">
        <v>2.8159999999999998E-2</v>
      </c>
      <c r="I1719" s="1">
        <v>203.63133002885826</v>
      </c>
      <c r="J1719" s="1">
        <v>26.339249244626831</v>
      </c>
      <c r="K1719" s="1">
        <v>9.152370498914747E-2</v>
      </c>
      <c r="L1719" s="1">
        <v>92.554072259637493</v>
      </c>
      <c r="M1719" s="1">
        <v>413.21896004028531</v>
      </c>
      <c r="N1719" s="1">
        <v>-13.689121805571469</v>
      </c>
      <c r="O1719" s="1">
        <v>1.1347232089123072E-6</v>
      </c>
    </row>
    <row r="1720" spans="1:15" x14ac:dyDescent="0.25">
      <c r="A1720">
        <v>2923.47</v>
      </c>
      <c r="B1720" s="1">
        <v>0.1</v>
      </c>
      <c r="C1720" s="1">
        <v>4.1411599445782192</v>
      </c>
      <c r="D1720" s="1">
        <v>533.4</v>
      </c>
      <c r="E1720" s="1">
        <v>528.41408094759231</v>
      </c>
      <c r="F1720" s="1">
        <v>234.88758526508843</v>
      </c>
      <c r="G1720" s="1">
        <v>2744.6561482664556</v>
      </c>
      <c r="H1720" s="1">
        <v>2.8159999999999998E-2</v>
      </c>
      <c r="I1720" s="1">
        <v>204.2500741435552</v>
      </c>
      <c r="J1720" s="1">
        <v>26.420704047379616</v>
      </c>
      <c r="K1720" s="1">
        <v>9.1509573711924655E-2</v>
      </c>
      <c r="L1720" s="1">
        <v>92.56905386364437</v>
      </c>
      <c r="M1720" s="1">
        <v>414.11599445782485</v>
      </c>
      <c r="N1720" s="1">
        <v>-13.692231805571469</v>
      </c>
      <c r="O1720" s="1">
        <v>1.1311997016263958E-6</v>
      </c>
    </row>
    <row r="1721" spans="1:15" x14ac:dyDescent="0.25">
      <c r="A1721">
        <v>2927.62</v>
      </c>
      <c r="B1721" s="1">
        <v>0.1</v>
      </c>
      <c r="C1721" s="1">
        <v>4.1501625314552424</v>
      </c>
      <c r="D1721" s="1">
        <v>533.5</v>
      </c>
      <c r="E1721" s="1">
        <v>530.05090442068695</v>
      </c>
      <c r="F1721" s="1">
        <v>235.60245164133082</v>
      </c>
      <c r="G1721" s="1">
        <v>2749.956657287501</v>
      </c>
      <c r="H1721" s="1">
        <v>2.8159999999999998E-2</v>
      </c>
      <c r="I1721" s="1">
        <v>204.87169707941811</v>
      </c>
      <c r="J1721" s="1">
        <v>26.50254522103435</v>
      </c>
      <c r="K1721" s="1">
        <v>9.1495453059400295E-2</v>
      </c>
      <c r="L1721" s="1">
        <v>92.584028826164371</v>
      </c>
      <c r="M1721" s="1">
        <v>415.01625314554076</v>
      </c>
      <c r="N1721" s="1">
        <v>-13.695341805571472</v>
      </c>
      <c r="O1721" s="1">
        <v>1.1276871354259333E-6</v>
      </c>
    </row>
    <row r="1722" spans="1:15" x14ac:dyDescent="0.25">
      <c r="A1722">
        <v>2931.78</v>
      </c>
      <c r="B1722" s="1">
        <v>0.1</v>
      </c>
      <c r="C1722" s="1">
        <v>4.1591975376095345</v>
      </c>
      <c r="D1722" s="1">
        <v>533.6</v>
      </c>
      <c r="E1722" s="1">
        <v>531.69550622642612</v>
      </c>
      <c r="F1722" s="1">
        <v>236.32065005300086</v>
      </c>
      <c r="G1722" s="1">
        <v>2755.2736123263539</v>
      </c>
      <c r="H1722" s="1">
        <v>2.8159999999999998E-2</v>
      </c>
      <c r="I1722" s="1">
        <v>205.49621743739215</v>
      </c>
      <c r="J1722" s="1">
        <v>26.584775311321309</v>
      </c>
      <c r="K1722" s="1">
        <v>9.1481343015818825E-2</v>
      </c>
      <c r="L1722" s="1">
        <v>92.598997155620978</v>
      </c>
      <c r="M1722" s="1">
        <v>415.91975376095434</v>
      </c>
      <c r="N1722" s="1">
        <v>-13.698451805571471</v>
      </c>
      <c r="O1722" s="1">
        <v>1.1241854763370084E-6</v>
      </c>
    </row>
    <row r="1723" spans="1:15" x14ac:dyDescent="0.25">
      <c r="A1723">
        <v>2935.94</v>
      </c>
      <c r="B1723" s="1">
        <v>0.1</v>
      </c>
      <c r="C1723" s="1">
        <v>4.1682651409403224</v>
      </c>
      <c r="D1723" s="1">
        <v>533.70000000000005</v>
      </c>
      <c r="E1723" s="1">
        <v>533.34793771313559</v>
      </c>
      <c r="F1723" s="1">
        <v>237.04220206950936</v>
      </c>
      <c r="G1723" s="1">
        <v>2760.607091679818</v>
      </c>
      <c r="H1723" s="1">
        <v>2.8159999999999998E-2</v>
      </c>
      <c r="I1723" s="1">
        <v>206.12365397348646</v>
      </c>
      <c r="J1723" s="1">
        <v>26.667396885656782</v>
      </c>
      <c r="K1723" s="1">
        <v>9.1467243565403297E-2</v>
      </c>
      <c r="L1723" s="1">
        <v>92.613958860480466</v>
      </c>
      <c r="M1723" s="1">
        <v>416.8265140940548</v>
      </c>
      <c r="N1723" s="1">
        <v>-13.701561805571471</v>
      </c>
      <c r="O1723" s="1">
        <v>1.1206946904911933E-6</v>
      </c>
    </row>
    <row r="1724" spans="1:15" x14ac:dyDescent="0.25">
      <c r="A1724">
        <v>2940.12</v>
      </c>
      <c r="B1724" s="1">
        <v>0.1</v>
      </c>
      <c r="C1724" s="1">
        <v>4.1773655206817661</v>
      </c>
      <c r="D1724" s="1">
        <v>533.80000000000007</v>
      </c>
      <c r="E1724" s="1">
        <v>535.00825066559173</v>
      </c>
      <c r="F1724" s="1">
        <v>237.76712944039645</v>
      </c>
      <c r="G1724" s="1">
        <v>2765.9571741625482</v>
      </c>
      <c r="H1724" s="1">
        <v>2.8159999999999998E-2</v>
      </c>
      <c r="I1724" s="1">
        <v>206.75402560034479</v>
      </c>
      <c r="J1724" s="1">
        <v>26.750412533279587</v>
      </c>
      <c r="K1724" s="1">
        <v>9.1453154692358499E-2</v>
      </c>
      <c r="L1724" s="1">
        <v>92.62891394924867</v>
      </c>
      <c r="M1724" s="1">
        <v>417.73655206816329</v>
      </c>
      <c r="N1724" s="1">
        <v>-13.70467180557147</v>
      </c>
      <c r="O1724" s="1">
        <v>1.1172147441252304E-6</v>
      </c>
    </row>
    <row r="1725" spans="1:15" x14ac:dyDescent="0.25">
      <c r="A1725">
        <v>2944.31</v>
      </c>
      <c r="B1725" s="1">
        <v>0.1</v>
      </c>
      <c r="C1725" s="1">
        <v>4.1864988574178499</v>
      </c>
      <c r="D1725" s="1">
        <v>533.9</v>
      </c>
      <c r="E1725" s="1">
        <v>536.67649731168331</v>
      </c>
      <c r="F1725" s="1">
        <v>238.49545409722529</v>
      </c>
      <c r="G1725" s="1">
        <v>2771.323939111478</v>
      </c>
      <c r="H1725" s="1">
        <v>2.8159999999999998E-2</v>
      </c>
      <c r="I1725" s="1">
        <v>207.3873513888916</v>
      </c>
      <c r="J1725" s="1">
        <v>26.833824865584166</v>
      </c>
      <c r="K1725" s="1">
        <v>9.1439076380866874E-2</v>
      </c>
      <c r="L1725" s="1">
        <v>92.643862430475338</v>
      </c>
      <c r="M1725" s="1">
        <v>418.64988574179733</v>
      </c>
      <c r="N1725" s="1">
        <v>-13.70778180557147</v>
      </c>
      <c r="O1725" s="1">
        <v>1.1137456035807042E-6</v>
      </c>
    </row>
    <row r="1726" spans="1:15" x14ac:dyDescent="0.25">
      <c r="A1726">
        <v>2948.5</v>
      </c>
      <c r="B1726" s="1">
        <v>0.1</v>
      </c>
      <c r="C1726" s="1">
        <v>4.1956653330934106</v>
      </c>
      <c r="D1726" s="1">
        <v>534</v>
      </c>
      <c r="E1726" s="1">
        <v>538.35273032540874</v>
      </c>
      <c r="F1726" s="1">
        <v>239.22719815543732</v>
      </c>
      <c r="G1726" s="1">
        <v>2776.7074663902795</v>
      </c>
      <c r="H1726" s="1">
        <v>2.8159999999999998E-2</v>
      </c>
      <c r="I1726" s="1">
        <v>208.02365056994552</v>
      </c>
      <c r="J1726" s="1">
        <v>26.917636516270438</v>
      </c>
      <c r="K1726" s="1">
        <v>9.1425008615091299E-2</v>
      </c>
      <c r="L1726" s="1">
        <v>92.658804312751172</v>
      </c>
      <c r="M1726" s="1">
        <v>419.56653330935296</v>
      </c>
      <c r="N1726" s="1">
        <v>-13.710891805571469</v>
      </c>
      <c r="O1726" s="1">
        <v>1.1102872353037127E-6</v>
      </c>
    </row>
    <row r="1727" spans="1:15" x14ac:dyDescent="0.25">
      <c r="A1727">
        <v>2952.71</v>
      </c>
      <c r="B1727" s="1">
        <v>0.1</v>
      </c>
      <c r="C1727" s="1">
        <v>4.2048651310277991</v>
      </c>
      <c r="D1727" s="1">
        <v>534.1</v>
      </c>
      <c r="E1727" s="1">
        <v>540.03700283220542</v>
      </c>
      <c r="F1727" s="1">
        <v>239.96238391624971</v>
      </c>
      <c r="G1727" s="1">
        <v>2782.1078363938791</v>
      </c>
      <c r="H1727" s="1">
        <v>2.8159999999999998E-2</v>
      </c>
      <c r="I1727" s="1">
        <v>208.66294253586935</v>
      </c>
      <c r="J1727" s="1">
        <v>27.001850141610273</v>
      </c>
      <c r="K1727" s="1">
        <v>9.1410951379173683E-2</v>
      </c>
      <c r="L1727" s="1">
        <v>92.673739604709425</v>
      </c>
      <c r="M1727" s="1">
        <v>420.48651310278728</v>
      </c>
      <c r="N1727" s="1">
        <v>-13.714001805571469</v>
      </c>
      <c r="O1727" s="1">
        <v>1.1068396058445451E-6</v>
      </c>
    </row>
    <row r="1728" spans="1:15" x14ac:dyDescent="0.25">
      <c r="A1728">
        <v>2956.92</v>
      </c>
      <c r="B1728" s="1">
        <v>0.1</v>
      </c>
      <c r="C1728" s="1">
        <v>4.2140984359287215</v>
      </c>
      <c r="D1728" s="1">
        <v>534.20000000000005</v>
      </c>
      <c r="E1728" s="1">
        <v>541.72936841367925</v>
      </c>
      <c r="F1728" s="1">
        <v>240.7010338685952</v>
      </c>
      <c r="G1728" s="1">
        <v>2787.5251300530217</v>
      </c>
      <c r="H1728" s="1">
        <v>2.8159999999999998E-2</v>
      </c>
      <c r="I1728" s="1">
        <v>209.30524684225674</v>
      </c>
      <c r="J1728" s="1">
        <v>27.086468420683964</v>
      </c>
      <c r="K1728" s="1">
        <v>9.1396904657234809E-2</v>
      </c>
      <c r="L1728" s="1">
        <v>92.688668315025978</v>
      </c>
      <c r="M1728" s="1">
        <v>421.40984359289178</v>
      </c>
      <c r="N1728" s="1">
        <v>-13.717111805571472</v>
      </c>
      <c r="O1728" s="1">
        <v>1.1034026818573542E-6</v>
      </c>
    </row>
    <row r="1729" spans="1:15" x14ac:dyDescent="0.25">
      <c r="A1729">
        <v>2961.15</v>
      </c>
      <c r="B1729" s="1">
        <v>0.1</v>
      </c>
      <c r="C1729" s="1">
        <v>4.2233654339048776</v>
      </c>
      <c r="D1729" s="1">
        <v>534.30000000000007</v>
      </c>
      <c r="E1729" s="1">
        <v>543.42988111260036</v>
      </c>
      <c r="F1729" s="1">
        <v>241.44317069106091</v>
      </c>
      <c r="G1729" s="1">
        <v>2792.9594288388794</v>
      </c>
      <c r="H1729" s="1">
        <v>2.8159999999999998E-2</v>
      </c>
      <c r="I1729" s="1">
        <v>209.9505832096182</v>
      </c>
      <c r="J1729" s="1">
        <v>27.171494055630021</v>
      </c>
      <c r="K1729" s="1">
        <v>9.138286843337369E-2</v>
      </c>
      <c r="L1729" s="1">
        <v>92.703590452420144</v>
      </c>
      <c r="M1729" s="1">
        <v>422.33654339047462</v>
      </c>
      <c r="N1729" s="1">
        <v>-13.720221805571471</v>
      </c>
      <c r="O1729" s="1">
        <v>1.0999764300998484E-6</v>
      </c>
    </row>
    <row r="1730" spans="1:15" x14ac:dyDescent="0.25">
      <c r="A1730">
        <v>2965.38</v>
      </c>
      <c r="B1730" s="1">
        <v>0.1</v>
      </c>
      <c r="C1730" s="1">
        <v>4.2326663124798802</v>
      </c>
      <c r="D1730" s="1">
        <v>534.4</v>
      </c>
      <c r="E1730" s="1">
        <v>545.13859543769968</v>
      </c>
      <c r="F1730" s="1">
        <v>242.18881725386345</v>
      </c>
      <c r="G1730" s="1">
        <v>2798.4108147677071</v>
      </c>
      <c r="H1730" s="1">
        <v>2.8159999999999998E-2</v>
      </c>
      <c r="I1730" s="1">
        <v>210.59897152509868</v>
      </c>
      <c r="J1730" s="1">
        <v>27.256929771884984</v>
      </c>
      <c r="K1730" s="1">
        <v>9.1368842691667604E-2</v>
      </c>
      <c r="L1730" s="1">
        <v>92.718506025654676</v>
      </c>
      <c r="M1730" s="1">
        <v>423.26663124799779</v>
      </c>
      <c r="N1730" s="1">
        <v>-13.723331805571471</v>
      </c>
      <c r="O1730" s="1">
        <v>1.0965608174329474E-6</v>
      </c>
    </row>
    <row r="1731" spans="1:15" x14ac:dyDescent="0.25">
      <c r="A1731">
        <v>2969.62</v>
      </c>
      <c r="B1731" s="1">
        <v>0.1</v>
      </c>
      <c r="C1731" s="1">
        <v>4.2420012606055364</v>
      </c>
      <c r="D1731" s="1">
        <v>534.5</v>
      </c>
      <c r="E1731" s="1">
        <v>546.85556636786532</v>
      </c>
      <c r="F1731" s="1">
        <v>242.93799662083492</v>
      </c>
      <c r="G1731" s="1">
        <v>2803.8793704055552</v>
      </c>
      <c r="H1731" s="1">
        <v>2.8159999999999998E-2</v>
      </c>
      <c r="I1731" s="1">
        <v>211.25043184420434</v>
      </c>
      <c r="J1731" s="1">
        <v>27.342778318393268</v>
      </c>
      <c r="K1731" s="1">
        <v>9.1354827416173012E-2</v>
      </c>
      <c r="L1731" s="1">
        <v>92.733415043534663</v>
      </c>
      <c r="M1731" s="1">
        <v>424.20012606053206</v>
      </c>
      <c r="N1731" s="1">
        <v>-13.72644180557147</v>
      </c>
      <c r="O1731" s="1">
        <v>1.0931558108204772E-6</v>
      </c>
    </row>
    <row r="1732" spans="1:15" x14ac:dyDescent="0.25">
      <c r="A1732">
        <v>2973.87</v>
      </c>
      <c r="B1732" s="1">
        <v>0.1</v>
      </c>
      <c r="C1732" s="1">
        <v>4.2513704686762575</v>
      </c>
      <c r="D1732" s="1">
        <v>534.6</v>
      </c>
      <c r="E1732" s="1">
        <v>548.5808493587374</v>
      </c>
      <c r="F1732" s="1">
        <v>243.69073205145131</v>
      </c>
      <c r="G1732" s="1">
        <v>2809.3651788730235</v>
      </c>
      <c r="H1732" s="1">
        <v>2.8159999999999998E-2</v>
      </c>
      <c r="I1732" s="1">
        <v>211.90498439256646</v>
      </c>
      <c r="J1732" s="1">
        <v>27.429042467936871</v>
      </c>
      <c r="K1732" s="1">
        <v>9.1340822590922688E-2</v>
      </c>
      <c r="L1732" s="1">
        <v>92.748317514910866</v>
      </c>
      <c r="M1732" s="1">
        <v>425.13704686762139</v>
      </c>
      <c r="N1732" s="1">
        <v>-13.72955180557147</v>
      </c>
      <c r="O1732" s="1">
        <v>1.0897613773288467E-6</v>
      </c>
    </row>
    <row r="1733" spans="1:15" x14ac:dyDescent="0.25">
      <c r="A1733">
        <v>2978.13</v>
      </c>
      <c r="B1733" s="1">
        <v>0.1</v>
      </c>
      <c r="C1733" s="1">
        <v>4.2607741285427636</v>
      </c>
      <c r="D1733" s="1">
        <v>534.70000000000005</v>
      </c>
      <c r="E1733" s="1">
        <v>550.31450034583872</v>
      </c>
      <c r="F1733" s="1">
        <v>244.44704700287497</v>
      </c>
      <c r="G1733" s="1">
        <v>2814.8683238500721</v>
      </c>
      <c r="H1733" s="1">
        <v>2.8159999999999998E-2</v>
      </c>
      <c r="I1733" s="1">
        <v>212.56264956771739</v>
      </c>
      <c r="J1733" s="1">
        <v>27.515725017291938</v>
      </c>
      <c r="K1733" s="1">
        <v>9.1326828199928656E-2</v>
      </c>
      <c r="L1733" s="1">
        <v>92.76321344867641</v>
      </c>
      <c r="M1733" s="1">
        <v>426.07741285428347</v>
      </c>
      <c r="N1733" s="1">
        <v>-13.732661805571468</v>
      </c>
      <c r="O1733" s="1">
        <v>1.0863774841267296E-6</v>
      </c>
    </row>
    <row r="1734" spans="1:15" x14ac:dyDescent="0.25">
      <c r="A1734">
        <v>2982.4</v>
      </c>
      <c r="B1734" s="1">
        <v>0.1</v>
      </c>
      <c r="C1734" s="1">
        <v>4.270212433526595</v>
      </c>
      <c r="D1734" s="1">
        <v>534.80000000000007</v>
      </c>
      <c r="E1734" s="1">
        <v>552.05657575156943</v>
      </c>
      <c r="F1734" s="1">
        <v>245.20696513203208</v>
      </c>
      <c r="G1734" s="1">
        <v>2820.3888895808836</v>
      </c>
      <c r="H1734" s="1">
        <v>2.8159999999999998E-2</v>
      </c>
      <c r="I1734" s="1">
        <v>213.22344794089753</v>
      </c>
      <c r="J1734" s="1">
        <v>27.602828787578474</v>
      </c>
      <c r="K1734" s="1">
        <v>9.1312844227178835E-2</v>
      </c>
      <c r="L1734" s="1">
        <v>92.778102853770463</v>
      </c>
      <c r="M1734" s="1">
        <v>427.02124335264671</v>
      </c>
      <c r="N1734" s="1">
        <v>-13.735771805571469</v>
      </c>
      <c r="O1734" s="1">
        <v>1.0830040984847456E-6</v>
      </c>
    </row>
    <row r="1735" spans="1:15" x14ac:dyDescent="0.25">
      <c r="A1735">
        <v>2986.68</v>
      </c>
      <c r="B1735" s="1">
        <v>0.1</v>
      </c>
      <c r="C1735" s="1">
        <v>4.2796855784338224</v>
      </c>
      <c r="D1735" s="1">
        <v>534.9</v>
      </c>
      <c r="E1735" s="1">
        <v>553.8071324889371</v>
      </c>
      <c r="F1735" s="1">
        <v>245.97051029769602</v>
      </c>
      <c r="G1735" s="1">
        <v>2825.9269608787713</v>
      </c>
      <c r="H1735" s="1">
        <v>2.8159999999999998E-2</v>
      </c>
      <c r="I1735" s="1">
        <v>213.88740025886611</v>
      </c>
      <c r="J1735" s="1">
        <v>27.690356624446856</v>
      </c>
      <c r="K1735" s="1">
        <v>9.1298870656639206E-2</v>
      </c>
      <c r="L1735" s="1">
        <v>92.792985739175961</v>
      </c>
      <c r="M1735" s="1">
        <v>427.96855784336003</v>
      </c>
      <c r="N1735" s="1">
        <v>-13.73888180557147</v>
      </c>
      <c r="O1735" s="1">
        <v>1.0796411877751421E-6</v>
      </c>
    </row>
    <row r="1736" spans="1:15" x14ac:dyDescent="0.25">
      <c r="A1736">
        <v>2990.97</v>
      </c>
      <c r="B1736" s="1">
        <v>0.1</v>
      </c>
      <c r="C1736" s="1">
        <v>4.2891937595701322</v>
      </c>
      <c r="D1736" s="1">
        <v>535</v>
      </c>
      <c r="E1736" s="1">
        <v>555.56622796775196</v>
      </c>
      <c r="F1736" s="1">
        <v>246.73770656261428</v>
      </c>
      <c r="G1736" s="1">
        <v>2831.4826231311445</v>
      </c>
      <c r="H1736" s="1">
        <v>2.8159999999999998E-2</v>
      </c>
      <c r="I1736" s="1">
        <v>214.5545274457516</v>
      </c>
      <c r="J1736" s="1">
        <v>27.778311398387601</v>
      </c>
      <c r="K1736" s="1">
        <v>9.1284907472252139E-2</v>
      </c>
      <c r="L1736" s="1">
        <v>92.807862113921459</v>
      </c>
      <c r="M1736" s="1">
        <v>428.91937595700256</v>
      </c>
      <c r="N1736" s="1">
        <v>-13.74199180557147</v>
      </c>
      <c r="O1736" s="1">
        <v>1.076288719471491E-6</v>
      </c>
    </row>
    <row r="1737" spans="1:15" x14ac:dyDescent="0.25">
      <c r="A1737">
        <v>2995.27</v>
      </c>
      <c r="B1737" s="1">
        <v>0.1</v>
      </c>
      <c r="C1737" s="1">
        <v>4.298737174755539</v>
      </c>
      <c r="D1737" s="1">
        <v>535.1</v>
      </c>
      <c r="E1737" s="1">
        <v>557.33392009955639</v>
      </c>
      <c r="F1737" s="1">
        <v>247.50857819566187</v>
      </c>
      <c r="G1737" s="1">
        <v>2837.0559623045301</v>
      </c>
      <c r="H1737" s="1">
        <v>2.8159999999999998E-2</v>
      </c>
      <c r="I1737" s="1">
        <v>215.22485060492343</v>
      </c>
      <c r="J1737" s="1">
        <v>27.866696004977822</v>
      </c>
      <c r="K1737" s="1">
        <v>9.1270954657936554E-2</v>
      </c>
      <c r="L1737" s="1">
        <v>92.822731987080871</v>
      </c>
      <c r="M1737" s="1">
        <v>429.8737174755388</v>
      </c>
      <c r="N1737" s="1">
        <v>-13.745101805571471</v>
      </c>
      <c r="O1737" s="1">
        <v>1.0729466611483539E-6</v>
      </c>
    </row>
    <row r="1738" spans="1:15" x14ac:dyDescent="0.25">
      <c r="A1738">
        <v>2999.58</v>
      </c>
      <c r="B1738" s="1">
        <v>0.1</v>
      </c>
      <c r="C1738" s="1">
        <v>4.3083160233388451</v>
      </c>
      <c r="D1738" s="1">
        <v>535.20000000000005</v>
      </c>
      <c r="E1738" s="1">
        <v>559.1102673029535</v>
      </c>
      <c r="F1738" s="1">
        <v>248.28314967400831</v>
      </c>
      <c r="G1738" s="1">
        <v>2842.6470649496382</v>
      </c>
      <c r="H1738" s="1">
        <v>2.8159999999999998E-2</v>
      </c>
      <c r="I1738" s="1">
        <v>215.89839102087686</v>
      </c>
      <c r="J1738" s="1">
        <v>27.955513365147677</v>
      </c>
      <c r="K1738" s="1">
        <v>9.1257012197588028E-2</v>
      </c>
      <c r="L1738" s="1">
        <v>92.837595367773574</v>
      </c>
      <c r="M1738" s="1">
        <v>430.83160233386479</v>
      </c>
      <c r="N1738" s="1">
        <v>-13.74821180557147</v>
      </c>
      <c r="O1738" s="1">
        <v>1.0696149804809828E-6</v>
      </c>
    </row>
    <row r="1739" spans="1:15" x14ac:dyDescent="0.25">
      <c r="A1739">
        <v>3003.9</v>
      </c>
      <c r="B1739" s="1">
        <v>0.1</v>
      </c>
      <c r="C1739" s="1">
        <v>4.3179305062130169</v>
      </c>
      <c r="D1739" s="1">
        <v>535.30000000000007</v>
      </c>
      <c r="E1739" s="1">
        <v>560.89532850933654</v>
      </c>
      <c r="F1739" s="1">
        <v>249.06144568532244</v>
      </c>
      <c r="G1739" s="1">
        <v>2848.2560182064958</v>
      </c>
      <c r="H1739" s="1">
        <v>2.8159999999999998E-2</v>
      </c>
      <c r="I1739" s="1">
        <v>216.57517016115</v>
      </c>
      <c r="J1739" s="1">
        <v>28.044766425466829</v>
      </c>
      <c r="K1739" s="1">
        <v>9.1243080075077893E-2</v>
      </c>
      <c r="L1739" s="1">
        <v>92.852452265165212</v>
      </c>
      <c r="M1739" s="1">
        <v>431.79305062130879</v>
      </c>
      <c r="N1739" s="1">
        <v>-13.75132180557147</v>
      </c>
      <c r="O1739" s="1">
        <v>1.0662936452450028E-6</v>
      </c>
    </row>
    <row r="1740" spans="1:15" x14ac:dyDescent="0.25">
      <c r="A1740">
        <v>3008.22</v>
      </c>
      <c r="B1740" s="1">
        <v>0.1</v>
      </c>
      <c r="C1740" s="1">
        <v>4.3275808258305712</v>
      </c>
      <c r="D1740" s="1">
        <v>535.4</v>
      </c>
      <c r="E1740" s="1">
        <v>562.68916316828404</v>
      </c>
      <c r="F1740" s="1">
        <v>249.84349113000897</v>
      </c>
      <c r="G1740" s="1">
        <v>2853.8829098096239</v>
      </c>
      <c r="H1740" s="1">
        <v>2.8159999999999998E-2</v>
      </c>
      <c r="I1740" s="1">
        <v>217.25520967826873</v>
      </c>
      <c r="J1740" s="1">
        <v>28.134458158414205</v>
      </c>
      <c r="K1740" s="1">
        <v>9.1229158274253278E-2</v>
      </c>
      <c r="L1740" s="1">
        <v>92.867302688467745</v>
      </c>
      <c r="M1740" s="1">
        <v>432.75808258304096</v>
      </c>
      <c r="N1740" s="1">
        <v>-13.754431805571469</v>
      </c>
      <c r="O1740" s="1">
        <v>1.0629826233161017E-6</v>
      </c>
    </row>
    <row r="1741" spans="1:15" x14ac:dyDescent="0.25">
      <c r="A1741">
        <v>3012.56</v>
      </c>
      <c r="B1741" s="1">
        <v>0.1</v>
      </c>
      <c r="C1741" s="1">
        <v>4.3372671862182477</v>
      </c>
      <c r="D1741" s="1">
        <v>535.5</v>
      </c>
      <c r="E1741" s="1">
        <v>564.49183125315551</v>
      </c>
      <c r="F1741" s="1">
        <v>250.62931112345004</v>
      </c>
      <c r="G1741" s="1">
        <v>2859.5278280932766</v>
      </c>
      <c r="H1741" s="1">
        <v>2.8159999999999998E-2</v>
      </c>
      <c r="I1741" s="1">
        <v>217.93853141169569</v>
      </c>
      <c r="J1741" s="1">
        <v>28.224591562657778</v>
      </c>
      <c r="K1741" s="1">
        <v>9.1215246778936956E-2</v>
      </c>
      <c r="L1741" s="1">
        <v>92.882146646939802</v>
      </c>
      <c r="M1741" s="1">
        <v>433.72671862184689</v>
      </c>
      <c r="N1741" s="1">
        <v>-13.757541805571469</v>
      </c>
      <c r="O1741" s="1">
        <v>1.0596818826697184E-6</v>
      </c>
    </row>
    <row r="1742" spans="1:15" x14ac:dyDescent="0.25">
      <c r="A1742">
        <v>3016.91</v>
      </c>
      <c r="B1742" s="1">
        <v>0.1</v>
      </c>
      <c r="C1742" s="1">
        <v>4.3469897929937948</v>
      </c>
      <c r="D1742" s="1">
        <v>535.6</v>
      </c>
      <c r="E1742" s="1">
        <v>566.3033932667538</v>
      </c>
      <c r="F1742" s="1">
        <v>251.41893099831259</v>
      </c>
      <c r="G1742" s="1">
        <v>2865.1908619967385</v>
      </c>
      <c r="H1742" s="1">
        <v>2.8159999999999998E-2</v>
      </c>
      <c r="I1742" s="1">
        <v>218.62515738983711</v>
      </c>
      <c r="J1742" s="1">
        <v>28.315169663337691</v>
      </c>
      <c r="K1742" s="1">
        <v>9.1201345572926903E-2</v>
      </c>
      <c r="L1742" s="1">
        <v>92.89698414988689</v>
      </c>
      <c r="M1742" s="1">
        <v>434.69897929940089</v>
      </c>
      <c r="N1742" s="1">
        <v>-13.760651805571472</v>
      </c>
      <c r="O1742" s="1">
        <v>1.0563913913807296E-6</v>
      </c>
    </row>
    <row r="1743" spans="1:15" x14ac:dyDescent="0.25">
      <c r="A1743">
        <v>3021.27</v>
      </c>
      <c r="B1743" s="1">
        <v>0.1</v>
      </c>
      <c r="C1743" s="1">
        <v>4.3567488533806955</v>
      </c>
      <c r="D1743" s="1">
        <v>535.70000000000005</v>
      </c>
      <c r="E1743" s="1">
        <v>568.12391024738668</v>
      </c>
      <c r="F1743" s="1">
        <v>252.21237630685019</v>
      </c>
      <c r="G1743" s="1">
        <v>2870.872101069674</v>
      </c>
      <c r="H1743" s="1">
        <v>2.8159999999999998E-2</v>
      </c>
      <c r="I1743" s="1">
        <v>219.3151098320437</v>
      </c>
      <c r="J1743" s="1">
        <v>28.406195512369337</v>
      </c>
      <c r="K1743" s="1">
        <v>9.1187454639995669E-2</v>
      </c>
      <c r="L1743" s="1">
        <v>92.911815206662368</v>
      </c>
      <c r="M1743" s="1">
        <v>435.67488533808501</v>
      </c>
      <c r="N1743" s="1">
        <v>-13.763761805571471</v>
      </c>
      <c r="O1743" s="1">
        <v>1.0531111176231568E-6</v>
      </c>
    </row>
    <row r="1744" spans="1:15" x14ac:dyDescent="0.25">
      <c r="A1744">
        <v>3025.63</v>
      </c>
      <c r="B1744" s="1">
        <v>0.1</v>
      </c>
      <c r="C1744" s="1">
        <v>4.3665445762244968</v>
      </c>
      <c r="D1744" s="1">
        <v>535.80000000000007</v>
      </c>
      <c r="E1744" s="1">
        <v>569.95344377392951</v>
      </c>
      <c r="F1744" s="1">
        <v>253.00967282324606</v>
      </c>
      <c r="G1744" s="1">
        <v>2876.5716354775395</v>
      </c>
      <c r="H1744" s="1">
        <v>2.8159999999999998E-2</v>
      </c>
      <c r="I1744" s="1">
        <v>220.00841115064881</v>
      </c>
      <c r="J1744" s="1">
        <v>28.497672188696477</v>
      </c>
      <c r="K1744" s="1">
        <v>9.1173573963891363E-2</v>
      </c>
      <c r="L1744" s="1">
        <v>92.926639826666303</v>
      </c>
      <c r="M1744" s="1">
        <v>436.65445762244417</v>
      </c>
      <c r="N1744" s="1">
        <v>-13.766871805571471</v>
      </c>
      <c r="O1744" s="1">
        <v>1.0498410296698342E-6</v>
      </c>
    </row>
    <row r="1745" spans="1:15" x14ac:dyDescent="0.25">
      <c r="A1745">
        <v>3030.01</v>
      </c>
      <c r="B1745" s="1">
        <v>0.1</v>
      </c>
      <c r="C1745" s="1">
        <v>4.3763771720093381</v>
      </c>
      <c r="D1745" s="1">
        <v>535.9</v>
      </c>
      <c r="E1745" s="1">
        <v>571.79205597288615</v>
      </c>
      <c r="F1745" s="1">
        <v>253.81084654599672</v>
      </c>
      <c r="G1745" s="1">
        <v>2882.2895560070533</v>
      </c>
      <c r="H1745" s="1">
        <v>2.8159999999999998E-2</v>
      </c>
      <c r="I1745" s="1">
        <v>220.70508395304074</v>
      </c>
      <c r="J1745" s="1">
        <v>28.589602798644307</v>
      </c>
      <c r="K1745" s="1">
        <v>9.115970352833537E-2</v>
      </c>
      <c r="L1745" s="1">
        <v>92.941458019347962</v>
      </c>
      <c r="M1745" s="1">
        <v>437.63771720091427</v>
      </c>
      <c r="N1745" s="1">
        <v>-13.76998180557147</v>
      </c>
      <c r="O1745" s="1">
        <v>1.0465810958921192E-6</v>
      </c>
    </row>
    <row r="1746" spans="1:15" x14ac:dyDescent="0.25">
      <c r="A1746">
        <v>3034.4</v>
      </c>
      <c r="B1746" s="1">
        <v>0.1</v>
      </c>
      <c r="C1746" s="1">
        <v>4.3862468528736178</v>
      </c>
      <c r="D1746" s="1">
        <v>536</v>
      </c>
      <c r="E1746" s="1">
        <v>573.63980952311874</v>
      </c>
      <c r="F1746" s="1">
        <v>254.61592370030365</v>
      </c>
      <c r="G1746" s="1">
        <v>2888.0259540717234</v>
      </c>
      <c r="H1746" s="1">
        <v>2.8159999999999998E-2</v>
      </c>
      <c r="I1746" s="1">
        <v>221.40515104374239</v>
      </c>
      <c r="J1746" s="1">
        <v>28.681990476155939</v>
      </c>
      <c r="K1746" s="1">
        <v>9.1145843317024133E-2</v>
      </c>
      <c r="L1746" s="1">
        <v>92.956269794203877</v>
      </c>
      <c r="M1746" s="1">
        <v>438.62468528736827</v>
      </c>
      <c r="N1746" s="1">
        <v>-13.773091805571468</v>
      </c>
      <c r="O1746" s="1">
        <v>1.043331284759581E-6</v>
      </c>
    </row>
    <row r="1747" spans="1:15" x14ac:dyDescent="0.25">
      <c r="A1747">
        <v>3038.79</v>
      </c>
      <c r="B1747" s="1">
        <v>0.1</v>
      </c>
      <c r="C1747" s="1">
        <v>4.3961538326275296</v>
      </c>
      <c r="D1747" s="1">
        <v>536.1</v>
      </c>
      <c r="E1747" s="1">
        <v>575.49676766304185</v>
      </c>
      <c r="F1747" s="1">
        <v>255.42493074052578</v>
      </c>
      <c r="G1747" s="1">
        <v>2893.7809217174422</v>
      </c>
      <c r="H1747" s="1">
        <v>2.8159999999999998E-2</v>
      </c>
      <c r="I1747" s="1">
        <v>222.10863542654423</v>
      </c>
      <c r="J1747" s="1">
        <v>28.774838383152094</v>
      </c>
      <c r="K1747" s="1">
        <v>9.1131993313627188E-2</v>
      </c>
      <c r="L1747" s="1">
        <v>92.971075160780174</v>
      </c>
      <c r="M1747" s="1">
        <v>439.61538326275331</v>
      </c>
      <c r="N1747" s="1">
        <v>-13.776201805571469</v>
      </c>
      <c r="O1747" s="1">
        <v>1.0400915648396954E-6</v>
      </c>
    </row>
    <row r="1748" spans="1:15" x14ac:dyDescent="0.25">
      <c r="A1748">
        <v>3043.2</v>
      </c>
      <c r="B1748" s="1">
        <v>0.1</v>
      </c>
      <c r="C1748" s="1">
        <v>4.4060983267686211</v>
      </c>
      <c r="D1748" s="1">
        <v>536.20000000000005</v>
      </c>
      <c r="E1748" s="1">
        <v>577.36299419568479</v>
      </c>
      <c r="F1748" s="1">
        <v>256.23789435262489</v>
      </c>
      <c r="G1748" s="1">
        <v>2899.5545516281331</v>
      </c>
      <c r="H1748" s="1">
        <v>2.8159999999999998E-2</v>
      </c>
      <c r="I1748" s="1">
        <v>222.81556030663035</v>
      </c>
      <c r="J1748" s="1">
        <v>28.868149709784241</v>
      </c>
      <c r="K1748" s="1">
        <v>9.1118153501788354E-2</v>
      </c>
      <c r="L1748" s="1">
        <v>92.985874128671114</v>
      </c>
      <c r="M1748" s="1">
        <v>440.60983267686424</v>
      </c>
      <c r="N1748" s="1">
        <v>-13.779311805571469</v>
      </c>
      <c r="O1748" s="1">
        <v>1.0368619047975426E-6</v>
      </c>
    </row>
    <row r="1749" spans="1:15" x14ac:dyDescent="0.25">
      <c r="A1749">
        <v>3047.61</v>
      </c>
      <c r="B1749" s="1">
        <v>0.1</v>
      </c>
      <c r="C1749" s="1">
        <v>4.4160805524998539</v>
      </c>
      <c r="D1749" s="1">
        <v>536.30000000000007</v>
      </c>
      <c r="E1749" s="1">
        <v>579.23855349588655</v>
      </c>
      <c r="F1749" s="1">
        <v>257.0548414566772</v>
      </c>
      <c r="G1749" s="1">
        <v>2905.346937131465</v>
      </c>
      <c r="H1749" s="1">
        <v>2.8159999999999998E-2</v>
      </c>
      <c r="I1749" s="1">
        <v>223.52594909276286</v>
      </c>
      <c r="J1749" s="1">
        <v>28.961927674794328</v>
      </c>
      <c r="K1749" s="1">
        <v>9.1104323865124112E-2</v>
      </c>
      <c r="L1749" s="1">
        <v>93.000666707521006</v>
      </c>
      <c r="M1749" s="1">
        <v>441.60805524998068</v>
      </c>
      <c r="N1749" s="1">
        <v>-13.78242180557147</v>
      </c>
      <c r="O1749" s="1">
        <v>1.0336422733954986E-6</v>
      </c>
    </row>
    <row r="1750" spans="1:15" x14ac:dyDescent="0.25">
      <c r="A1750">
        <v>3052.04</v>
      </c>
      <c r="B1750" s="1">
        <v>0.1</v>
      </c>
      <c r="C1750" s="1">
        <v>4.4261007287463583</v>
      </c>
      <c r="D1750" s="1">
        <v>536.4</v>
      </c>
      <c r="E1750" s="1">
        <v>581.12351051609062</v>
      </c>
      <c r="F1750" s="1">
        <v>257.87579920940311</v>
      </c>
      <c r="G1750" s="1">
        <v>2911.1581722046335</v>
      </c>
      <c r="H1750" s="1">
        <v>2.8159999999999998E-2</v>
      </c>
      <c r="I1750" s="1">
        <v>224.23982539948094</v>
      </c>
      <c r="J1750" s="1">
        <v>29.056175525804534</v>
      </c>
      <c r="K1750" s="1">
        <v>9.1090504387223922E-2</v>
      </c>
      <c r="L1750" s="1">
        <v>93.015452907023828</v>
      </c>
      <c r="M1750" s="1">
        <v>442.61007287464054</v>
      </c>
      <c r="N1750" s="1">
        <v>-13.785531805571472</v>
      </c>
      <c r="O1750" s="1">
        <v>1.0304326394929487E-6</v>
      </c>
    </row>
    <row r="1751" spans="1:15" x14ac:dyDescent="0.25">
      <c r="A1751">
        <v>3056.48</v>
      </c>
      <c r="B1751" s="1">
        <v>0.1</v>
      </c>
      <c r="C1751" s="1">
        <v>4.4361590761725029</v>
      </c>
      <c r="D1751" s="1">
        <v>536.5</v>
      </c>
      <c r="E1751" s="1">
        <v>583.01793079233994</v>
      </c>
      <c r="F1751" s="1">
        <v>258.70079500671881</v>
      </c>
      <c r="G1751" s="1">
        <v>2916.9883514801959</v>
      </c>
      <c r="H1751" s="1">
        <v>2.8159999999999998E-2</v>
      </c>
      <c r="I1751" s="1">
        <v>224.95721304932079</v>
      </c>
      <c r="J1751" s="1">
        <v>29.150896539616998</v>
      </c>
      <c r="K1751" s="1">
        <v>9.1076695051650738E-2</v>
      </c>
      <c r="L1751" s="1">
        <v>93.030232736922812</v>
      </c>
      <c r="M1751" s="1">
        <v>443.61590761723164</v>
      </c>
      <c r="N1751" s="1">
        <v>-13.788641805571471</v>
      </c>
      <c r="O1751" s="1">
        <v>1.0272329720459643E-6</v>
      </c>
    </row>
    <row r="1752" spans="1:15" x14ac:dyDescent="0.25">
      <c r="A1752">
        <v>3060.92</v>
      </c>
      <c r="B1752" s="1">
        <v>0.1</v>
      </c>
      <c r="C1752" s="1">
        <v>4.4462558172003162</v>
      </c>
      <c r="D1752" s="1">
        <v>536.6</v>
      </c>
      <c r="E1752" s="1">
        <v>584.92188045207172</v>
      </c>
      <c r="F1752" s="1">
        <v>259.52985648634728</v>
      </c>
      <c r="G1752" s="1">
        <v>2922.8375702519797</v>
      </c>
      <c r="H1752" s="1">
        <v>2.8159999999999998E-2</v>
      </c>
      <c r="I1752" s="1">
        <v>225.67813607508469</v>
      </c>
      <c r="J1752" s="1">
        <v>29.246094022603586</v>
      </c>
      <c r="K1752" s="1">
        <v>9.1062895841938343E-2</v>
      </c>
      <c r="L1752" s="1">
        <v>93.045006207013159</v>
      </c>
      <c r="M1752" s="1">
        <v>444.6255817200381</v>
      </c>
      <c r="N1752" s="1">
        <v>-13.791751805571471</v>
      </c>
      <c r="O1752" s="1">
        <v>1.0240432401070171E-6</v>
      </c>
    </row>
    <row r="1753" spans="1:15" x14ac:dyDescent="0.25">
      <c r="A1753">
        <v>3065.38</v>
      </c>
      <c r="B1753" s="1">
        <v>0.1</v>
      </c>
      <c r="C1753" s="1">
        <v>4.4563911760262265</v>
      </c>
      <c r="D1753" s="1">
        <v>536.70000000000005</v>
      </c>
      <c r="E1753" s="1">
        <v>586.83542621897902</v>
      </c>
      <c r="F1753" s="1">
        <v>260.36301153042791</v>
      </c>
      <c r="G1753" s="1">
        <v>2928.7059244810525</v>
      </c>
      <c r="H1753" s="1">
        <v>2.8159999999999998E-2</v>
      </c>
      <c r="I1753" s="1">
        <v>226.4026187221113</v>
      </c>
      <c r="J1753" s="1">
        <v>29.341771310948953</v>
      </c>
      <c r="K1753" s="1">
        <v>9.1049106741594013E-2</v>
      </c>
      <c r="L1753" s="1">
        <v>93.059773327139411</v>
      </c>
      <c r="M1753" s="1">
        <v>445.63911760260453</v>
      </c>
      <c r="N1753" s="1">
        <v>-13.79486180557147</v>
      </c>
      <c r="O1753" s="1">
        <v>1.0208634128246758E-6</v>
      </c>
    </row>
    <row r="1754" spans="1:15" x14ac:dyDescent="0.25">
      <c r="A1754">
        <v>3069.84</v>
      </c>
      <c r="B1754" s="1">
        <v>0.1</v>
      </c>
      <c r="C1754" s="1">
        <v>4.4665653786401842</v>
      </c>
      <c r="D1754" s="1">
        <v>536.80000000000007</v>
      </c>
      <c r="E1754" s="1">
        <v>588.75863542080515</v>
      </c>
      <c r="F1754" s="1">
        <v>261.20028826819487</v>
      </c>
      <c r="G1754" s="1">
        <v>2934.5935108017597</v>
      </c>
      <c r="H1754" s="1">
        <v>2.8159999999999998E-2</v>
      </c>
      <c r="I1754" s="1">
        <v>227.13068545060429</v>
      </c>
      <c r="J1754" s="1">
        <v>29.437931771040258</v>
      </c>
      <c r="K1754" s="1">
        <v>9.1035327734096227E-2</v>
      </c>
      <c r="L1754" s="1">
        <v>93.074534107197891</v>
      </c>
      <c r="M1754" s="1">
        <v>446.65653786400981</v>
      </c>
      <c r="N1754" s="1">
        <v>-13.79797180557147</v>
      </c>
      <c r="O1754" s="1">
        <v>1.0176934594433079E-6</v>
      </c>
    </row>
    <row r="1755" spans="1:15" x14ac:dyDescent="0.25">
      <c r="A1755">
        <v>3074.32</v>
      </c>
      <c r="B1755" s="1">
        <v>0.1</v>
      </c>
      <c r="C1755" s="1">
        <v>4.4767786528431266</v>
      </c>
      <c r="D1755" s="1">
        <v>536.9</v>
      </c>
      <c r="E1755" s="1">
        <v>590.69157599600521</v>
      </c>
      <c r="F1755" s="1">
        <v>262.04171507866397</v>
      </c>
      <c r="G1755" s="1">
        <v>2940.5004265278262</v>
      </c>
      <c r="H1755" s="1">
        <v>2.8159999999999998E-2</v>
      </c>
      <c r="I1755" s="1">
        <v>227.86236093796873</v>
      </c>
      <c r="J1755" s="1">
        <v>29.534578799800261</v>
      </c>
      <c r="K1755" s="1">
        <v>9.1021558802894434E-2</v>
      </c>
      <c r="L1755" s="1">
        <v>93.089288557136896</v>
      </c>
      <c r="M1755" s="1">
        <v>447.67786528432225</v>
      </c>
      <c r="N1755" s="1">
        <v>-13.801081805571469</v>
      </c>
      <c r="O1755" s="1">
        <v>1.0145333493027829E-6</v>
      </c>
    </row>
    <row r="1756" spans="1:15" x14ac:dyDescent="0.25">
      <c r="A1756">
        <v>3078.81</v>
      </c>
      <c r="B1756" s="1">
        <v>0.1</v>
      </c>
      <c r="C1756" s="1">
        <v>4.4870312282659253</v>
      </c>
      <c r="D1756" s="1">
        <v>537</v>
      </c>
      <c r="E1756" s="1">
        <v>592.63431649960728</v>
      </c>
      <c r="F1756" s="1">
        <v>262.88732059336957</v>
      </c>
      <c r="G1756" s="1">
        <v>2946.4267696585321</v>
      </c>
      <c r="H1756" s="1">
        <v>2.8159999999999998E-2</v>
      </c>
      <c r="I1756" s="1">
        <v>228.59767008119096</v>
      </c>
      <c r="J1756" s="1">
        <v>29.631715824980365</v>
      </c>
      <c r="K1756" s="1">
        <v>9.1007799931410366E-2</v>
      </c>
      <c r="L1756" s="1">
        <v>93.104036686955439</v>
      </c>
      <c r="M1756" s="1">
        <v>448.70312282660052</v>
      </c>
      <c r="N1756" s="1">
        <v>-13.804191805571472</v>
      </c>
      <c r="O1756" s="1">
        <v>1.0113830518381713E-6</v>
      </c>
    </row>
    <row r="1757" spans="1:15" x14ac:dyDescent="0.25">
      <c r="A1757">
        <v>3083.31</v>
      </c>
      <c r="B1757" s="1">
        <v>0.1</v>
      </c>
      <c r="C1757" s="1">
        <v>4.4973233363880647</v>
      </c>
      <c r="D1757" s="1">
        <v>537.1</v>
      </c>
      <c r="E1757" s="1">
        <v>594.58692611140668</v>
      </c>
      <c r="F1757" s="1">
        <v>263.73713369913469</v>
      </c>
      <c r="G1757" s="1">
        <v>2952.3726388849545</v>
      </c>
      <c r="H1757" s="1">
        <v>2.8159999999999998E-2</v>
      </c>
      <c r="I1757" s="1">
        <v>229.33663799924761</v>
      </c>
      <c r="J1757" s="1">
        <v>29.729346305570335</v>
      </c>
      <c r="K1757" s="1">
        <v>9.0994051103035559E-2</v>
      </c>
      <c r="L1757" s="1">
        <v>93.11877850670588</v>
      </c>
      <c r="M1757" s="1">
        <v>449.73233363880354</v>
      </c>
      <c r="N1757" s="1">
        <v>-13.807301805571472</v>
      </c>
      <c r="O1757" s="1">
        <v>1.0082425365794636E-6</v>
      </c>
    </row>
    <row r="1758" spans="1:15" x14ac:dyDescent="0.25">
      <c r="A1758">
        <v>3087.81</v>
      </c>
      <c r="B1758" s="1">
        <v>0.1</v>
      </c>
      <c r="C1758" s="1">
        <v>4.5076552105564351</v>
      </c>
      <c r="D1758" s="1">
        <v>537.20000000000005</v>
      </c>
      <c r="E1758" s="1">
        <v>596.54947464222732</v>
      </c>
      <c r="F1758" s="1">
        <v>264.59118354087258</v>
      </c>
      <c r="G1758" s="1">
        <v>2958.3381335962777</v>
      </c>
      <c r="H1758" s="1">
        <v>2.8159999999999998E-2</v>
      </c>
      <c r="I1758" s="1">
        <v>230.07929003554142</v>
      </c>
      <c r="J1758" s="1">
        <v>29.827473732111368</v>
      </c>
      <c r="K1758" s="1">
        <v>9.0980312301132293E-2</v>
      </c>
      <c r="L1758" s="1">
        <v>93.133514026493017</v>
      </c>
      <c r="M1758" s="1">
        <v>450.76552105565497</v>
      </c>
      <c r="N1758" s="1">
        <v>-13.810411805571471</v>
      </c>
      <c r="O1758" s="1">
        <v>1.0051117731512538E-6</v>
      </c>
    </row>
    <row r="1759" spans="1:15" x14ac:dyDescent="0.25">
      <c r="A1759">
        <v>3092.33</v>
      </c>
      <c r="B1759" s="1">
        <v>0.1</v>
      </c>
      <c r="C1759" s="1">
        <v>4.5180270860045582</v>
      </c>
      <c r="D1759" s="1">
        <v>537.30000000000007</v>
      </c>
      <c r="E1759" s="1">
        <v>598.52203254091569</v>
      </c>
      <c r="F1759" s="1">
        <v>265.44949952442573</v>
      </c>
      <c r="G1759" s="1">
        <v>2964.323353886175</v>
      </c>
      <c r="H1759" s="1">
        <v>2.8159999999999998E-2</v>
      </c>
      <c r="I1759" s="1">
        <v>230.82565176037031</v>
      </c>
      <c r="J1759" s="1">
        <v>29.926101627045785</v>
      </c>
      <c r="K1759" s="1">
        <v>9.0966583509033361E-2</v>
      </c>
      <c r="L1759" s="1">
        <v>93.148243256474316</v>
      </c>
      <c r="M1759" s="1">
        <v>451.80270860046221</v>
      </c>
      <c r="N1759" s="1">
        <v>-13.813521805571471</v>
      </c>
      <c r="O1759" s="1">
        <v>1.0019907312724607E-6</v>
      </c>
    </row>
    <row r="1760" spans="1:15" x14ac:dyDescent="0.25">
      <c r="A1760">
        <v>3096.86</v>
      </c>
      <c r="B1760" s="1">
        <v>0.1</v>
      </c>
      <c r="C1760" s="1">
        <v>4.528439199872043</v>
      </c>
      <c r="D1760" s="1">
        <v>537.4</v>
      </c>
      <c r="E1760" s="1">
        <v>600.50467090206894</v>
      </c>
      <c r="F1760" s="1">
        <v>266.31211131944326</v>
      </c>
      <c r="G1760" s="1">
        <v>2970.3284005592654</v>
      </c>
      <c r="H1760" s="1">
        <v>2.8159999999999998E-2</v>
      </c>
      <c r="I1760" s="1">
        <v>231.57574897342892</v>
      </c>
      <c r="J1760" s="1">
        <v>30.025233545103447</v>
      </c>
      <c r="K1760" s="1">
        <v>9.0952864710041034E-2</v>
      </c>
      <c r="L1760" s="1">
        <v>93.162966206861157</v>
      </c>
      <c r="M1760" s="1">
        <v>452.84391998720821</v>
      </c>
      <c r="N1760" s="1">
        <v>-13.81663180557147</v>
      </c>
      <c r="O1760" s="1">
        <v>9.9887938075603094E-7</v>
      </c>
    </row>
    <row r="1761" spans="1:15" x14ac:dyDescent="0.25">
      <c r="A1761">
        <v>3101.4</v>
      </c>
      <c r="B1761" s="1">
        <v>0.1</v>
      </c>
      <c r="C1761" s="1">
        <v>4.5388917912242182</v>
      </c>
      <c r="D1761" s="1">
        <v>537.5</v>
      </c>
      <c r="E1761" s="1">
        <v>602.49746147269525</v>
      </c>
      <c r="F1761" s="1">
        <v>267.17904886229439</v>
      </c>
      <c r="G1761" s="1">
        <v>2976.3533751376362</v>
      </c>
      <c r="H1761" s="1">
        <v>2.8159999999999998E-2</v>
      </c>
      <c r="I1761" s="1">
        <v>232.32960770634301</v>
      </c>
      <c r="J1761" s="1">
        <v>30.124873073634763</v>
      </c>
      <c r="K1761" s="1">
        <v>9.0939155887427528E-2</v>
      </c>
      <c r="L1761" s="1">
        <v>93.177682887918237</v>
      </c>
      <c r="M1761" s="1">
        <v>453.88917912241595</v>
      </c>
      <c r="N1761" s="1">
        <v>-13.81974180557147</v>
      </c>
      <c r="O1761" s="1">
        <v>9.9577769150864681E-7</v>
      </c>
    </row>
    <row r="1762" spans="1:15" x14ac:dyDescent="0.25">
      <c r="A1762">
        <v>3105.95</v>
      </c>
      <c r="B1762" s="1">
        <v>0.1</v>
      </c>
      <c r="C1762" s="1">
        <v>4.5493851010724962</v>
      </c>
      <c r="D1762" s="1">
        <v>537.6</v>
      </c>
      <c r="E1762" s="1">
        <v>604.50047666014143</v>
      </c>
      <c r="F1762" s="1">
        <v>268.05034235903435</v>
      </c>
      <c r="G1762" s="1">
        <v>2982.3983798674531</v>
      </c>
      <c r="H1762" s="1">
        <v>2.8159999999999998E-2</v>
      </c>
      <c r="I1762" s="1">
        <v>233.08725422524725</v>
      </c>
      <c r="J1762" s="1">
        <v>30.225023833007072</v>
      </c>
      <c r="K1762" s="1">
        <v>9.0925457024433859E-2</v>
      </c>
      <c r="L1762" s="1">
        <v>93.192393309964885</v>
      </c>
      <c r="M1762" s="1">
        <v>454.93851010724029</v>
      </c>
      <c r="N1762" s="1">
        <v>-13.822851805571469</v>
      </c>
      <c r="O1762" s="1">
        <v>9.9268563353043566E-7</v>
      </c>
    </row>
    <row r="1763" spans="1:15" x14ac:dyDescent="0.25">
      <c r="A1763">
        <v>3110.51</v>
      </c>
      <c r="B1763" s="1">
        <v>0.1</v>
      </c>
      <c r="C1763" s="1">
        <v>4.5599193723936295</v>
      </c>
      <c r="D1763" s="1">
        <v>537.70000000000005</v>
      </c>
      <c r="E1763" s="1">
        <v>606.51378953935352</v>
      </c>
      <c r="F1763" s="1">
        <v>268.92602228837956</v>
      </c>
      <c r="G1763" s="1">
        <v>2988.4635177256237</v>
      </c>
      <c r="H1763" s="1">
        <v>2.8159999999999998E-2</v>
      </c>
      <c r="I1763" s="1">
        <v>233.84871503337357</v>
      </c>
      <c r="J1763" s="1">
        <v>30.325689476967678</v>
      </c>
      <c r="K1763" s="1">
        <v>9.0911768104270027E-2</v>
      </c>
      <c r="L1763" s="1">
        <v>93.207097483375065</v>
      </c>
      <c r="M1763" s="1">
        <v>455.99193723937788</v>
      </c>
      <c r="N1763" s="1">
        <v>-13.825961805571472</v>
      </c>
      <c r="O1763" s="1">
        <v>9.8960317691467583E-7</v>
      </c>
    </row>
    <row r="1764" spans="1:15" x14ac:dyDescent="0.25">
      <c r="A1764">
        <v>3115.08</v>
      </c>
      <c r="B1764" s="1">
        <v>0.1</v>
      </c>
      <c r="C1764" s="1">
        <v>4.5704948501510341</v>
      </c>
      <c r="D1764" s="1">
        <v>537.80000000000007</v>
      </c>
      <c r="E1764" s="1">
        <v>608.5374738602045</v>
      </c>
      <c r="F1764" s="1">
        <v>269.80611940475183</v>
      </c>
      <c r="G1764" s="1">
        <v>2994.5488924265592</v>
      </c>
      <c r="H1764" s="1">
        <v>2.8159999999999998E-2</v>
      </c>
      <c r="I1764" s="1">
        <v>234.61401687369732</v>
      </c>
      <c r="J1764" s="1">
        <v>30.426873693010226</v>
      </c>
      <c r="K1764" s="1">
        <v>9.0898089110114821E-2</v>
      </c>
      <c r="L1764" s="1">
        <v>93.2217954185774</v>
      </c>
      <c r="M1764" s="1">
        <v>457.04948501511353</v>
      </c>
      <c r="N1764" s="1">
        <v>-13.829071805571472</v>
      </c>
      <c r="O1764" s="1">
        <v>9.8653029184752156E-7</v>
      </c>
    </row>
    <row r="1765" spans="1:15" x14ac:dyDescent="0.25">
      <c r="A1765">
        <v>3119.66</v>
      </c>
      <c r="B1765" s="1">
        <v>0.1</v>
      </c>
      <c r="C1765" s="1">
        <v>4.581111781314978</v>
      </c>
      <c r="D1765" s="1">
        <v>537.9</v>
      </c>
      <c r="E1765" s="1">
        <v>610.57160405548757</v>
      </c>
      <c r="F1765" s="1">
        <v>270.6906647413461</v>
      </c>
      <c r="G1765" s="1">
        <v>3000.6546084289976</v>
      </c>
      <c r="H1765" s="1">
        <v>2.8159999999999998E-2</v>
      </c>
      <c r="I1765" s="1">
        <v>235.38318673160538</v>
      </c>
      <c r="J1765" s="1">
        <v>30.528580202774378</v>
      </c>
      <c r="K1765" s="1">
        <v>9.0884420025115223E-2</v>
      </c>
      <c r="L1765" s="1">
        <v>93.236487126055991</v>
      </c>
      <c r="M1765" s="1">
        <v>458.11117813150304</v>
      </c>
      <c r="N1765" s="1">
        <v>-13.832181805571471</v>
      </c>
      <c r="O1765" s="1">
        <v>9.8346694860769399E-7</v>
      </c>
    </row>
    <row r="1766" spans="1:15" x14ac:dyDescent="0.25">
      <c r="A1766">
        <v>3124.25</v>
      </c>
      <c r="B1766" s="1">
        <v>0.1</v>
      </c>
      <c r="C1766" s="1">
        <v>4.5917704148839364</v>
      </c>
      <c r="D1766" s="1">
        <v>538</v>
      </c>
      <c r="E1766" s="1">
        <v>612.61625524871022</v>
      </c>
      <c r="F1766" s="1">
        <v>271.5796896132515</v>
      </c>
      <c r="G1766" s="1">
        <v>3006.7807709429144</v>
      </c>
      <c r="H1766" s="1">
        <v>2.8159999999999998E-2</v>
      </c>
      <c r="I1766" s="1">
        <v>236.15625183761014</v>
      </c>
      <c r="J1766" s="1">
        <v>30.630812762435511</v>
      </c>
      <c r="K1766" s="1">
        <v>9.0870760832385794E-2</v>
      </c>
      <c r="L1766" s="1">
        <v>93.251172616351042</v>
      </c>
      <c r="M1766" s="1">
        <v>459.17704148837402</v>
      </c>
      <c r="N1766" s="1">
        <v>-13.835291805571471</v>
      </c>
      <c r="O1766" s="1">
        <v>9.8041311756620702E-7</v>
      </c>
    </row>
    <row r="1767" spans="1:15" x14ac:dyDescent="0.25">
      <c r="A1767">
        <v>3128.85</v>
      </c>
      <c r="B1767" s="1">
        <v>0.1</v>
      </c>
      <c r="C1767" s="1">
        <v>4.6024710019055348</v>
      </c>
      <c r="D1767" s="1">
        <v>538.1</v>
      </c>
      <c r="E1767" s="1">
        <v>614.67150326235401</v>
      </c>
      <c r="F1767" s="1">
        <v>272.47322562060538</v>
      </c>
      <c r="G1767" s="1">
        <v>3012.927485936505</v>
      </c>
      <c r="H1767" s="1">
        <v>2.8159999999999998E-2</v>
      </c>
      <c r="I1767" s="1">
        <v>236.93323967009169</v>
      </c>
      <c r="J1767" s="1">
        <v>30.733575163117703</v>
      </c>
      <c r="K1767" s="1">
        <v>9.0857111515008124E-2</v>
      </c>
      <c r="L1767" s="1">
        <v>93.265851900059616</v>
      </c>
      <c r="M1767" s="1">
        <v>460.24710019055419</v>
      </c>
      <c r="N1767" s="1">
        <v>-13.83840180557147</v>
      </c>
      <c r="O1767" s="1">
        <v>9.7736876918607753E-7</v>
      </c>
    </row>
    <row r="1768" spans="1:15" x14ac:dyDescent="0.25">
      <c r="A1768">
        <v>3133.47</v>
      </c>
      <c r="B1768" s="1">
        <v>0.1</v>
      </c>
      <c r="C1768" s="1">
        <v>4.6132137954972867</v>
      </c>
      <c r="D1768" s="1">
        <v>538.20000000000005</v>
      </c>
      <c r="E1768" s="1">
        <v>616.7374246243362</v>
      </c>
      <c r="F1768" s="1">
        <v>273.37130465176608</v>
      </c>
      <c r="G1768" s="1">
        <v>3019.0948601432469</v>
      </c>
      <c r="H1768" s="1">
        <v>2.8159999999999998E-2</v>
      </c>
      <c r="I1768" s="1">
        <v>237.71417795805755</v>
      </c>
      <c r="J1768" s="1">
        <v>30.836871231216811</v>
      </c>
      <c r="K1768" s="1">
        <v>9.084347205603252E-2</v>
      </c>
      <c r="L1768" s="1">
        <v>93.280524987833729</v>
      </c>
      <c r="M1768" s="1">
        <v>461.32137954973587</v>
      </c>
      <c r="N1768" s="1">
        <v>-13.84151180557147</v>
      </c>
      <c r="O1768" s="1">
        <v>9.7433387402203957E-7</v>
      </c>
    </row>
    <row r="1769" spans="1:15" x14ac:dyDescent="0.25">
      <c r="A1769">
        <v>3138.09</v>
      </c>
      <c r="B1769" s="1">
        <v>0.1</v>
      </c>
      <c r="C1769" s="1">
        <v>4.6239990508699789</v>
      </c>
      <c r="D1769" s="1">
        <v>538.30000000000007</v>
      </c>
      <c r="E1769" s="1">
        <v>618.81409657806864</v>
      </c>
      <c r="F1769" s="1">
        <v>274.27395888658106</v>
      </c>
      <c r="G1769" s="1">
        <v>3025.28300106905</v>
      </c>
      <c r="H1769" s="1">
        <v>2.8159999999999998E-2</v>
      </c>
      <c r="I1769" s="1">
        <v>238.4990946839836</v>
      </c>
      <c r="J1769" s="1">
        <v>30.940704828903435</v>
      </c>
      <c r="K1769" s="1">
        <v>9.0829842438474848E-2</v>
      </c>
      <c r="L1769" s="1">
        <v>93.295191890383919</v>
      </c>
      <c r="M1769" s="1">
        <v>462.39990508697701</v>
      </c>
      <c r="N1769" s="1">
        <v>-13.844621805571469</v>
      </c>
      <c r="O1769" s="1">
        <v>9.713084027202606E-7</v>
      </c>
    </row>
    <row r="1770" spans="1:15" x14ac:dyDescent="0.25">
      <c r="A1770">
        <v>3142.73</v>
      </c>
      <c r="B1770" s="1">
        <v>0.1</v>
      </c>
      <c r="C1770" s="1">
        <v>4.6348270253490638</v>
      </c>
      <c r="D1770" s="1">
        <v>538.4</v>
      </c>
      <c r="E1770" s="1">
        <v>620.90159708985129</v>
      </c>
      <c r="F1770" s="1">
        <v>275.18122079967452</v>
      </c>
      <c r="G1770" s="1">
        <v>3031.4920169994907</v>
      </c>
      <c r="H1770" s="1">
        <v>2.8159999999999998E-2</v>
      </c>
      <c r="I1770" s="1">
        <v>239.28801808667353</v>
      </c>
      <c r="J1770" s="1">
        <v>31.045079854492567</v>
      </c>
      <c r="K1770" s="1">
        <v>9.0816222645317385E-2</v>
      </c>
      <c r="L1770" s="1">
        <v>93.309852618478246</v>
      </c>
      <c r="M1770" s="1">
        <v>463.48270253488408</v>
      </c>
      <c r="N1770" s="1">
        <v>-13.847731805571469</v>
      </c>
      <c r="O1770" s="1">
        <v>9.6829232601805558E-7</v>
      </c>
    </row>
    <row r="1771" spans="1:15" x14ac:dyDescent="0.25">
      <c r="A1771">
        <v>3147.37</v>
      </c>
      <c r="B1771" s="1">
        <v>0.1</v>
      </c>
      <c r="C1771" s="1">
        <v>4.645697978395412</v>
      </c>
      <c r="D1771" s="1">
        <v>538.5</v>
      </c>
      <c r="E1771" s="1">
        <v>623.00000485659984</v>
      </c>
      <c r="F1771" s="1">
        <v>276.09312316373268</v>
      </c>
      <c r="G1771" s="1">
        <v>3037.7220170071078</v>
      </c>
      <c r="H1771" s="1">
        <v>2.8159999999999998E-2</v>
      </c>
      <c r="I1771" s="1">
        <v>240.08097666411538</v>
      </c>
      <c r="J1771" s="1">
        <v>31.150000242829993</v>
      </c>
      <c r="K1771" s="1">
        <v>9.0802612659509369E-2</v>
      </c>
      <c r="L1771" s="1">
        <v>93.324507182941844</v>
      </c>
      <c r="M1771" s="1">
        <v>464.56979783952193</v>
      </c>
      <c r="N1771" s="1">
        <v>-13.850841805571472</v>
      </c>
      <c r="O1771" s="1">
        <v>9.6528561474360219E-7</v>
      </c>
    </row>
    <row r="1772" spans="1:15" x14ac:dyDescent="0.25">
      <c r="A1772">
        <v>3152.03</v>
      </c>
      <c r="B1772" s="1">
        <v>0.1</v>
      </c>
      <c r="C1772" s="1">
        <v>4.656612171630921</v>
      </c>
      <c r="D1772" s="1">
        <v>538.6</v>
      </c>
      <c r="E1772" s="1">
        <v>625.10939931543771</v>
      </c>
      <c r="F1772" s="1">
        <v>277.00969905292754</v>
      </c>
      <c r="G1772" s="1">
        <v>3043.9731109588179</v>
      </c>
      <c r="H1772" s="1">
        <v>2.8159999999999998E-2</v>
      </c>
      <c r="I1772" s="1">
        <v>240.87799917645881</v>
      </c>
      <c r="J1772" s="1">
        <v>31.255469965771887</v>
      </c>
      <c r="K1772" s="1">
        <v>9.0789012463964966E-2</v>
      </c>
      <c r="L1772" s="1">
        <v>93.339155594659161</v>
      </c>
      <c r="M1772" s="1">
        <v>465.66121716309681</v>
      </c>
      <c r="N1772" s="1">
        <v>-13.853951805571471</v>
      </c>
      <c r="O1772" s="1">
        <v>9.6228823981567165E-7</v>
      </c>
    </row>
    <row r="1773" spans="1:15" x14ac:dyDescent="0.25">
      <c r="A1773">
        <v>3156.7</v>
      </c>
      <c r="B1773" s="1">
        <v>0.1</v>
      </c>
      <c r="C1773" s="1">
        <v>4.6675698688584779</v>
      </c>
      <c r="D1773" s="1">
        <v>538.70000000000005</v>
      </c>
      <c r="E1773" s="1">
        <v>627.22986065129044</v>
      </c>
      <c r="F1773" s="1">
        <v>277.93098184629298</v>
      </c>
      <c r="G1773" s="1">
        <v>3050.2454095233834</v>
      </c>
      <c r="H1773" s="1">
        <v>2.8159999999999998E-2</v>
      </c>
      <c r="I1773" s="1">
        <v>241.67911464895047</v>
      </c>
      <c r="J1773" s="1">
        <v>31.361493032564525</v>
      </c>
      <c r="K1773" s="1">
        <v>9.0775422041564247E-2</v>
      </c>
      <c r="L1773" s="1">
        <v>93.353797864572826</v>
      </c>
      <c r="M1773" s="1">
        <v>466.75698688586635</v>
      </c>
      <c r="N1773" s="1">
        <v>-13.857061805571469</v>
      </c>
      <c r="O1773" s="1">
        <v>9.5930017224332764E-7</v>
      </c>
    </row>
    <row r="1774" spans="1:15" x14ac:dyDescent="0.25">
      <c r="A1774">
        <v>3161.37</v>
      </c>
      <c r="B1774" s="1">
        <v>0.1</v>
      </c>
      <c r="C1774" s="1">
        <v>4.6785713360873693</v>
      </c>
      <c r="D1774" s="1">
        <v>538.80000000000007</v>
      </c>
      <c r="E1774" s="1">
        <v>629.3614698063443</v>
      </c>
      <c r="F1774" s="1">
        <v>278.85700523121744</v>
      </c>
      <c r="G1774" s="1">
        <v>3056.5390241789887</v>
      </c>
      <c r="H1774" s="1">
        <v>2.8159999999999998E-2</v>
      </c>
      <c r="I1774" s="1">
        <v>242.48435237497176</v>
      </c>
      <c r="J1774" s="1">
        <v>31.468073490317217</v>
      </c>
      <c r="K1774" s="1">
        <v>9.0761841375151808E-2</v>
      </c>
      <c r="L1774" s="1">
        <v>93.368434003685394</v>
      </c>
      <c r="M1774" s="1">
        <v>467.8571336087316</v>
      </c>
      <c r="N1774" s="1">
        <v>-13.86017180557147</v>
      </c>
      <c r="O1774" s="1">
        <v>9.5632138312565757E-7</v>
      </c>
    </row>
    <row r="1775" spans="1:15" x14ac:dyDescent="0.25">
      <c r="A1775">
        <v>3166.06</v>
      </c>
      <c r="B1775" s="1">
        <v>0.1</v>
      </c>
      <c r="C1775" s="1">
        <v>4.6896168415551633</v>
      </c>
      <c r="D1775" s="1">
        <v>538.9</v>
      </c>
      <c r="E1775" s="1">
        <v>631.50430848817325</v>
      </c>
      <c r="F1775" s="1">
        <v>279.7878032069321</v>
      </c>
      <c r="G1775" s="1">
        <v>3062.8540672208942</v>
      </c>
      <c r="H1775" s="1">
        <v>2.8159999999999998E-2</v>
      </c>
      <c r="I1775" s="1">
        <v>243.29374191907141</v>
      </c>
      <c r="J1775" s="1">
        <v>31.575215424408665</v>
      </c>
      <c r="K1775" s="1">
        <v>9.0748270447537305E-2</v>
      </c>
      <c r="L1775" s="1">
        <v>93.383064023058637</v>
      </c>
      <c r="M1775" s="1">
        <v>468.96168415551074</v>
      </c>
      <c r="N1775" s="1">
        <v>-13.86328180557147</v>
      </c>
      <c r="O1775" s="1">
        <v>9.533518436514927E-7</v>
      </c>
    </row>
    <row r="1776" spans="1:15" x14ac:dyDescent="0.25">
      <c r="A1776">
        <v>3170.76</v>
      </c>
      <c r="B1776" s="1">
        <v>0.1</v>
      </c>
      <c r="C1776" s="1">
        <v>4.7007066557526223</v>
      </c>
      <c r="D1776" s="1">
        <v>539</v>
      </c>
      <c r="E1776" s="1">
        <v>633.65845917906506</v>
      </c>
      <c r="F1776" s="1">
        <v>280.72341008808269</v>
      </c>
      <c r="G1776" s="1">
        <v>3069.1906517691837</v>
      </c>
      <c r="H1776" s="1">
        <v>2.8159999999999998E-2</v>
      </c>
      <c r="I1776" s="1">
        <v>244.10731312007195</v>
      </c>
      <c r="J1776" s="1">
        <v>31.682922958953256</v>
      </c>
      <c r="K1776" s="1">
        <v>9.0734709241494516E-2</v>
      </c>
      <c r="L1776" s="1">
        <v>93.397687933814723</v>
      </c>
      <c r="M1776" s="1">
        <v>470.07066557525832</v>
      </c>
      <c r="N1776" s="1">
        <v>-13.866391805571469</v>
      </c>
      <c r="O1776" s="1">
        <v>9.503915250991271E-7</v>
      </c>
    </row>
    <row r="1777" spans="1:15" x14ac:dyDescent="0.25">
      <c r="A1777">
        <v>3175.48</v>
      </c>
      <c r="B1777" s="1">
        <v>0.1</v>
      </c>
      <c r="C1777" s="1">
        <v>4.7118410514471956</v>
      </c>
      <c r="D1777" s="1">
        <v>539.1</v>
      </c>
      <c r="E1777" s="1">
        <v>635.82400514508026</v>
      </c>
      <c r="F1777" s="1">
        <v>281.66386050832949</v>
      </c>
      <c r="G1777" s="1">
        <v>3075.5488917766002</v>
      </c>
      <c r="H1777" s="1">
        <v>2.8159999999999998E-2</v>
      </c>
      <c r="I1777" s="1">
        <v>244.92509609419957</v>
      </c>
      <c r="J1777" s="1">
        <v>31.791200257254015</v>
      </c>
      <c r="K1777" s="1">
        <v>9.0721157739760833E-2</v>
      </c>
      <c r="L1777" s="1">
        <v>93.412305747136671</v>
      </c>
      <c r="M1777" s="1">
        <v>471.18410514472089</v>
      </c>
      <c r="N1777" s="1">
        <v>-13.869501805571469</v>
      </c>
      <c r="O1777" s="1">
        <v>9.474403988360404E-7</v>
      </c>
    </row>
    <row r="1778" spans="1:15" x14ac:dyDescent="0.25">
      <c r="A1778">
        <v>3180.2</v>
      </c>
      <c r="B1778" s="1">
        <v>0.1</v>
      </c>
      <c r="C1778" s="1">
        <v>4.7230203037076155</v>
      </c>
      <c r="D1778" s="1">
        <v>539.20000000000005</v>
      </c>
      <c r="E1778" s="1">
        <v>638.00103044497905</v>
      </c>
      <c r="F1778" s="1">
        <v>282.60918942400235</v>
      </c>
      <c r="G1778" s="1">
        <v>3081.9289020364749</v>
      </c>
      <c r="H1778" s="1">
        <v>2.8159999999999998E-2</v>
      </c>
      <c r="I1778" s="1">
        <v>245.74712123826293</v>
      </c>
      <c r="J1778" s="1">
        <v>31.900051522248955</v>
      </c>
      <c r="K1778" s="1">
        <v>9.0707615925037469E-2</v>
      </c>
      <c r="L1778" s="1">
        <v>93.426917474268365</v>
      </c>
      <c r="M1778" s="1">
        <v>472.30203037074716</v>
      </c>
      <c r="N1778" s="1">
        <v>-13.872611805571472</v>
      </c>
      <c r="O1778" s="1">
        <v>9.4449843631861797E-7</v>
      </c>
    </row>
    <row r="1779" spans="1:15" x14ac:dyDescent="0.25">
      <c r="A1779">
        <v>3184.93</v>
      </c>
      <c r="B1779" s="1">
        <v>0.1</v>
      </c>
      <c r="C1779" s="1">
        <v>4.7342446899288237</v>
      </c>
      <c r="D1779" s="1">
        <v>539.30000000000007</v>
      </c>
      <c r="E1779" s="1">
        <v>640.1896199398127</v>
      </c>
      <c r="F1779" s="1">
        <v>283.55943211781124</v>
      </c>
      <c r="G1779" s="1">
        <v>3088.3307981907487</v>
      </c>
      <c r="H1779" s="1">
        <v>2.8159999999999998E-2</v>
      </c>
      <c r="I1779" s="1">
        <v>246.57341923287944</v>
      </c>
      <c r="J1779" s="1">
        <v>32.009480996990639</v>
      </c>
      <c r="K1779" s="1">
        <v>9.069408377998843E-2</v>
      </c>
      <c r="L1779" s="1">
        <v>93.441523126515577</v>
      </c>
      <c r="M1779" s="1">
        <v>473.42446899288007</v>
      </c>
      <c r="N1779" s="1">
        <v>-13.875721805571471</v>
      </c>
      <c r="O1779" s="1">
        <v>9.4156560909188781E-7</v>
      </c>
    </row>
    <row r="1780" spans="1:15" x14ac:dyDescent="0.25">
      <c r="A1780">
        <v>3189.68</v>
      </c>
      <c r="B1780" s="1">
        <v>0.1</v>
      </c>
      <c r="C1780" s="1">
        <v>4.7455144898565935</v>
      </c>
      <c r="D1780" s="1">
        <v>539.4</v>
      </c>
      <c r="E1780" s="1">
        <v>642.38985930198385</v>
      </c>
      <c r="F1780" s="1">
        <v>284.51462420259406</v>
      </c>
      <c r="G1780" s="1">
        <v>3094.7546967380881</v>
      </c>
      <c r="H1780" s="1">
        <v>2.8159999999999998E-2</v>
      </c>
      <c r="I1780" s="1">
        <v>247.40402104573397</v>
      </c>
      <c r="J1780" s="1">
        <v>32.119492965099191</v>
      </c>
      <c r="K1780" s="1">
        <v>9.0680561287240807E-2</v>
      </c>
      <c r="L1780" s="1">
        <v>93.456122715245797</v>
      </c>
      <c r="M1780" s="1">
        <v>474.55144898567596</v>
      </c>
      <c r="N1780" s="1">
        <v>-13.878831805571471</v>
      </c>
      <c r="O1780" s="1">
        <v>9.3864188878922582E-7</v>
      </c>
    </row>
    <row r="1781" spans="1:15" x14ac:dyDescent="0.25">
      <c r="A1781">
        <v>3194.44</v>
      </c>
      <c r="B1781" s="1">
        <v>0.1</v>
      </c>
      <c r="C1781" s="1">
        <v>4.7568299856135932</v>
      </c>
      <c r="D1781" s="1">
        <v>539.5</v>
      </c>
      <c r="E1781" s="1">
        <v>644.60183502537132</v>
      </c>
      <c r="F1781" s="1">
        <v>285.47480162513602</v>
      </c>
      <c r="G1781" s="1">
        <v>3101.2007150420964</v>
      </c>
      <c r="H1781" s="1">
        <v>2.8159999999999998E-2</v>
      </c>
      <c r="I1781" s="1">
        <v>248.23895793490101</v>
      </c>
      <c r="J1781" s="1">
        <v>32.230091751268567</v>
      </c>
      <c r="K1781" s="1">
        <v>9.0667048429383473E-2</v>
      </c>
      <c r="L1781" s="1">
        <v>93.470716251889584</v>
      </c>
      <c r="M1781" s="1">
        <v>475.68299856134217</v>
      </c>
      <c r="N1781" s="1">
        <v>-13.88194180557147</v>
      </c>
      <c r="O1781" s="1">
        <v>9.3572724713209357E-7</v>
      </c>
    </row>
    <row r="1782" spans="1:15" x14ac:dyDescent="0.25">
      <c r="A1782">
        <v>3199.2</v>
      </c>
      <c r="B1782" s="1">
        <v>0.1</v>
      </c>
      <c r="C1782" s="1">
        <v>4.7681914617243439</v>
      </c>
      <c r="D1782" s="1">
        <v>539.6</v>
      </c>
      <c r="E1782" s="1">
        <v>646.8256344345225</v>
      </c>
      <c r="F1782" s="1">
        <v>286.44000067001838</v>
      </c>
      <c r="G1782" s="1">
        <v>3107.6689713396217</v>
      </c>
      <c r="H1782" s="1">
        <v>2.8159999999999998E-2</v>
      </c>
      <c r="I1782" s="1">
        <v>249.07826145218993</v>
      </c>
      <c r="J1782" s="1">
        <v>32.341281721726126</v>
      </c>
      <c r="K1782" s="1">
        <v>9.0653545188967441E-2</v>
      </c>
      <c r="L1782" s="1">
        <v>93.485303747940335</v>
      </c>
      <c r="M1782" s="1">
        <v>476.81914617242001</v>
      </c>
      <c r="N1782" s="1">
        <v>-13.88505180557147</v>
      </c>
      <c r="O1782" s="1">
        <v>9.3282165592976327E-7</v>
      </c>
    </row>
    <row r="1783" spans="1:15" x14ac:dyDescent="0.25">
      <c r="A1783">
        <v>3203.98</v>
      </c>
      <c r="B1783" s="1">
        <v>0.1</v>
      </c>
      <c r="C1783" s="1">
        <v>4.7795992051416265</v>
      </c>
      <c r="D1783" s="1">
        <v>539.70000000000005</v>
      </c>
      <c r="E1783" s="1">
        <v>649.06134569424626</v>
      </c>
      <c r="F1783" s="1">
        <v>287.4102579635304</v>
      </c>
      <c r="G1783" s="1">
        <v>3114.1595847491631</v>
      </c>
      <c r="H1783" s="1">
        <v>2.8159999999999998E-2</v>
      </c>
      <c r="I1783" s="1">
        <v>249.9219634465482</v>
      </c>
      <c r="J1783" s="1">
        <v>32.453067284712311</v>
      </c>
      <c r="K1783" s="1">
        <v>9.0640051548505809E-2</v>
      </c>
      <c r="L1783" s="1">
        <v>93.499885214954318</v>
      </c>
      <c r="M1783" s="1">
        <v>477.95992051414942</v>
      </c>
      <c r="N1783" s="1">
        <v>-13.888161805571469</v>
      </c>
      <c r="O1783" s="1">
        <v>9.2992508707904324E-7</v>
      </c>
    </row>
    <row r="1784" spans="1:15" x14ac:dyDescent="0.25">
      <c r="A1784">
        <v>3208.78</v>
      </c>
      <c r="B1784" s="1">
        <v>0.1</v>
      </c>
      <c r="C1784" s="1">
        <v>4.7910535052737329</v>
      </c>
      <c r="D1784" s="1">
        <v>539.80000000000007</v>
      </c>
      <c r="E1784" s="1">
        <v>651.30905782120328</v>
      </c>
      <c r="F1784" s="1">
        <v>288.3856104776616</v>
      </c>
      <c r="G1784" s="1">
        <v>3120.6726752793847</v>
      </c>
      <c r="H1784" s="1">
        <v>2.8159999999999998E-2</v>
      </c>
      <c r="I1784" s="1">
        <v>250.77009606753185</v>
      </c>
      <c r="J1784" s="1">
        <v>32.565452891060168</v>
      </c>
      <c r="K1784" s="1">
        <v>9.0626567490471086E-2</v>
      </c>
      <c r="L1784" s="1">
        <v>93.51446066455371</v>
      </c>
      <c r="M1784" s="1">
        <v>479.10535052737941</v>
      </c>
      <c r="N1784" s="1">
        <v>-13.891271805571469</v>
      </c>
      <c r="O1784" s="1">
        <v>9.2703751256400758E-7</v>
      </c>
    </row>
    <row r="1785" spans="1:15" x14ac:dyDescent="0.25">
      <c r="A1785">
        <v>3213.58</v>
      </c>
      <c r="B1785" s="1">
        <v>0.1</v>
      </c>
      <c r="C1785" s="1">
        <v>4.8025546540089694</v>
      </c>
      <c r="D1785" s="1">
        <v>539.9</v>
      </c>
      <c r="E1785" s="1">
        <v>653.56886069136704</v>
      </c>
      <c r="F1785" s="1">
        <v>289.366095534078</v>
      </c>
      <c r="G1785" s="1">
        <v>3127.2083638377076</v>
      </c>
      <c r="H1785" s="1">
        <v>2.8159999999999998E-2</v>
      </c>
      <c r="I1785" s="1">
        <v>251.62269176876353</v>
      </c>
      <c r="J1785" s="1">
        <v>32.678443034568353</v>
      </c>
      <c r="K1785" s="1">
        <v>9.0613092997298486E-2</v>
      </c>
      <c r="L1785" s="1">
        <v>93.529030108422987</v>
      </c>
      <c r="M1785" s="1">
        <v>480.25546540088726</v>
      </c>
      <c r="N1785" s="1">
        <v>-13.894381805571472</v>
      </c>
      <c r="O1785" s="1">
        <v>9.2415890445572086E-7</v>
      </c>
    </row>
    <row r="1786" spans="1:15" x14ac:dyDescent="0.25">
      <c r="A1786">
        <v>3218.39</v>
      </c>
      <c r="B1786" s="1">
        <v>0.1</v>
      </c>
      <c r="C1786" s="1">
        <v>4.8141029457455033</v>
      </c>
      <c r="D1786" s="1">
        <v>540</v>
      </c>
      <c r="E1786" s="1">
        <v>655.84084505267981</v>
      </c>
      <c r="F1786" s="1">
        <v>290.35175080824183</v>
      </c>
      <c r="G1786" s="1">
        <v>3133.7667722390365</v>
      </c>
      <c r="H1786" s="1">
        <v>2.8159999999999998E-2</v>
      </c>
      <c r="I1786" s="1">
        <v>252.47978331151464</v>
      </c>
      <c r="J1786" s="1">
        <v>32.792042252633991</v>
      </c>
      <c r="K1786" s="1">
        <v>9.0599628051382095E-2</v>
      </c>
      <c r="L1786" s="1">
        <v>93.543593558313191</v>
      </c>
      <c r="M1786" s="1">
        <v>481.4102945745617</v>
      </c>
      <c r="N1786" s="1">
        <v>-13.89749180557147</v>
      </c>
      <c r="O1786" s="1">
        <v>9.2128923491198183E-7</v>
      </c>
    </row>
    <row r="1787" spans="1:15" x14ac:dyDescent="0.25">
      <c r="A1787">
        <v>3223.22</v>
      </c>
      <c r="B1787" s="1">
        <v>0.1</v>
      </c>
      <c r="C1787" s="1">
        <v>4.8256986774169057</v>
      </c>
      <c r="D1787" s="1">
        <v>540.1</v>
      </c>
      <c r="E1787" s="1">
        <v>658.12510253424603</v>
      </c>
      <c r="F1787" s="1">
        <v>291.34261433352418</v>
      </c>
      <c r="G1787" s="1">
        <v>3140.3480232145644</v>
      </c>
      <c r="H1787" s="1">
        <v>2.8159999999999998E-2</v>
      </c>
      <c r="I1787" s="1">
        <v>253.34140376828194</v>
      </c>
      <c r="J1787" s="1">
        <v>32.906255126712303</v>
      </c>
      <c r="K1787" s="1">
        <v>9.058617263507629E-2</v>
      </c>
      <c r="L1787" s="1">
        <v>93.558151026040449</v>
      </c>
      <c r="M1787" s="1">
        <v>482.56986774167672</v>
      </c>
      <c r="N1787" s="1">
        <v>-13.900601805571471</v>
      </c>
      <c r="O1787" s="1">
        <v>9.1842847617703373E-7</v>
      </c>
    </row>
    <row r="1788" spans="1:15" x14ac:dyDescent="0.25">
      <c r="A1788">
        <v>3228.05</v>
      </c>
      <c r="B1788" s="1">
        <v>0.1</v>
      </c>
      <c r="C1788" s="1">
        <v>4.8373421485207508</v>
      </c>
      <c r="D1788" s="1">
        <v>540.20000000000005</v>
      </c>
      <c r="E1788" s="1">
        <v>660.42172565712326</v>
      </c>
      <c r="F1788" s="1">
        <v>292.3387245054015</v>
      </c>
      <c r="G1788" s="1">
        <v>3146.9522404206946</v>
      </c>
      <c r="H1788" s="1">
        <v>2.8159999999999998E-2</v>
      </c>
      <c r="I1788" s="1">
        <v>254.20758652643619</v>
      </c>
      <c r="J1788" s="1">
        <v>33.021086282856167</v>
      </c>
      <c r="K1788" s="1">
        <v>9.0572726730694844E-2</v>
      </c>
      <c r="L1788" s="1">
        <v>93.572702523486967</v>
      </c>
      <c r="M1788" s="1">
        <v>483.73421485207473</v>
      </c>
      <c r="N1788" s="1">
        <v>-13.90371180557147</v>
      </c>
      <c r="O1788" s="1">
        <v>9.1557660058131013E-7</v>
      </c>
    </row>
    <row r="1789" spans="1:15" x14ac:dyDescent="0.25">
      <c r="A1789">
        <v>3232.9</v>
      </c>
      <c r="B1789" s="1">
        <v>0.1</v>
      </c>
      <c r="C1789" s="1">
        <v>4.8490336611471054</v>
      </c>
      <c r="D1789" s="1">
        <v>540.30000000000007</v>
      </c>
      <c r="E1789" s="1">
        <v>662.73080784537979</v>
      </c>
      <c r="F1789" s="1">
        <v>293.3401200857179</v>
      </c>
      <c r="G1789" s="1">
        <v>3153.5795484480723</v>
      </c>
      <c r="H1789" s="1">
        <v>2.8159999999999998E-2</v>
      </c>
      <c r="I1789" s="1">
        <v>255.07836529192866</v>
      </c>
      <c r="J1789" s="1">
        <v>33.136540392268991</v>
      </c>
      <c r="K1789" s="1">
        <v>9.0559290320510036E-2</v>
      </c>
      <c r="L1789" s="1">
        <v>93.5872480626021</v>
      </c>
      <c r="M1789" s="1">
        <v>484.90336611471321</v>
      </c>
      <c r="N1789" s="1">
        <v>-13.90682180557147</v>
      </c>
      <c r="O1789" s="1">
        <v>9.1273358054116258E-7</v>
      </c>
    </row>
    <row r="1790" spans="1:15" x14ac:dyDescent="0.25">
      <c r="A1790">
        <v>3237.76</v>
      </c>
      <c r="B1790" s="1">
        <v>0.1</v>
      </c>
      <c r="C1790" s="1">
        <v>4.860773520006072</v>
      </c>
      <c r="D1790" s="1">
        <v>540.4</v>
      </c>
      <c r="E1790" s="1">
        <v>665.05244343622041</v>
      </c>
      <c r="F1790" s="1">
        <v>294.34684020697409</v>
      </c>
      <c r="G1790" s="1">
        <v>3160.2300728307114</v>
      </c>
      <c r="H1790" s="1">
        <v>2.8159999999999998E-2</v>
      </c>
      <c r="I1790" s="1">
        <v>255.95377409302102</v>
      </c>
      <c r="J1790" s="1">
        <v>33.252622171811019</v>
      </c>
      <c r="K1790" s="1">
        <v>9.0545863386753286E-2</v>
      </c>
      <c r="L1790" s="1">
        <v>93.601787655401651</v>
      </c>
      <c r="M1790" s="1">
        <v>486.07735200062052</v>
      </c>
      <c r="N1790" s="1">
        <v>-13.909931805571469</v>
      </c>
      <c r="O1790" s="1">
        <v>9.098993885585949E-7</v>
      </c>
    </row>
    <row r="1791" spans="1:15" x14ac:dyDescent="0.25">
      <c r="A1791">
        <v>3242.64</v>
      </c>
      <c r="B1791" s="1">
        <v>0.1</v>
      </c>
      <c r="C1791" s="1">
        <v>4.8725620324577745</v>
      </c>
      <c r="D1791" s="1">
        <v>540.5</v>
      </c>
      <c r="E1791" s="1">
        <v>667.38672769117716</v>
      </c>
      <c r="F1791" s="1">
        <v>295.35892437670992</v>
      </c>
      <c r="G1791" s="1">
        <v>3166.9039400552479</v>
      </c>
      <c r="H1791" s="1">
        <v>2.8159999999999998E-2</v>
      </c>
      <c r="I1791" s="1">
        <v>256.83384728409561</v>
      </c>
      <c r="J1791" s="1">
        <v>33.369336384558856</v>
      </c>
      <c r="K1791" s="1">
        <v>9.0532445911614357E-2</v>
      </c>
      <c r="L1791" s="1">
        <v>93.616321313968868</v>
      </c>
      <c r="M1791" s="1">
        <v>487.25620324576084</v>
      </c>
      <c r="N1791" s="1">
        <v>-13.913041805571469</v>
      </c>
      <c r="O1791" s="1">
        <v>9.070739972209967E-7</v>
      </c>
    </row>
    <row r="1792" spans="1:15" x14ac:dyDescent="0.25">
      <c r="A1792">
        <v>3247.52</v>
      </c>
      <c r="B1792" s="1">
        <v>0.1</v>
      </c>
      <c r="C1792" s="1">
        <v>4.8843995085416037</v>
      </c>
      <c r="D1792" s="1">
        <v>540.6</v>
      </c>
      <c r="E1792" s="1">
        <v>669.73375680863251</v>
      </c>
      <c r="F1792" s="1">
        <v>296.37641248194268</v>
      </c>
      <c r="G1792" s="1">
        <v>3173.6012775702939</v>
      </c>
      <c r="H1792" s="1">
        <v>2.8159999999999998E-2</v>
      </c>
      <c r="I1792" s="1">
        <v>257.71861954951544</v>
      </c>
      <c r="J1792" s="1">
        <v>33.486687840431628</v>
      </c>
      <c r="K1792" s="1">
        <v>9.0519037877239139E-2</v>
      </c>
      <c r="L1792" s="1">
        <v>93.630849050456817</v>
      </c>
      <c r="M1792" s="1">
        <v>488.43995085417191</v>
      </c>
      <c r="N1792" s="1">
        <v>-13.916151805571472</v>
      </c>
      <c r="O1792" s="1">
        <v>9.0425737920087507E-7</v>
      </c>
    </row>
    <row r="1793" spans="1:15" x14ac:dyDescent="0.25">
      <c r="A1793">
        <v>3252.42</v>
      </c>
      <c r="B1793" s="1">
        <v>0.1</v>
      </c>
      <c r="C1793" s="1">
        <v>4.8962862610053142</v>
      </c>
      <c r="D1793" s="1">
        <v>540.70000000000005</v>
      </c>
      <c r="E1793" s="1">
        <v>672.09362793287926</v>
      </c>
      <c r="F1793" s="1">
        <v>297.39934479364837</v>
      </c>
      <c r="G1793" s="1">
        <v>3180.3222137959083</v>
      </c>
      <c r="H1793" s="1">
        <v>2.8159999999999998E-2</v>
      </c>
      <c r="I1793" s="1">
        <v>258.60812590752033</v>
      </c>
      <c r="J1793" s="1">
        <v>33.604681396643961</v>
      </c>
      <c r="K1793" s="1">
        <v>9.0505639265732254E-2</v>
      </c>
      <c r="L1793" s="1">
        <v>93.645370877085739</v>
      </c>
      <c r="M1793" s="1">
        <v>489.62862610051161</v>
      </c>
      <c r="N1793" s="1">
        <v>-13.919261805571471</v>
      </c>
      <c r="O1793" s="1">
        <v>9.014495072556036E-7</v>
      </c>
    </row>
    <row r="1794" spans="1:15" x14ac:dyDescent="0.25">
      <c r="A1794">
        <v>3257.33</v>
      </c>
      <c r="B1794" s="1">
        <v>0.1</v>
      </c>
      <c r="C1794" s="1">
        <v>4.9082226053357862</v>
      </c>
      <c r="D1794" s="1">
        <v>540.80000000000007</v>
      </c>
      <c r="E1794" s="1">
        <v>674.46643916730943</v>
      </c>
      <c r="F1794" s="1">
        <v>298.42776197132451</v>
      </c>
      <c r="G1794" s="1">
        <v>3187.0668781331824</v>
      </c>
      <c r="H1794" s="1">
        <v>2.8159999999999998E-2</v>
      </c>
      <c r="I1794" s="1">
        <v>259.50240171419534</v>
      </c>
      <c r="J1794" s="1">
        <v>33.723321958365474</v>
      </c>
      <c r="K1794" s="1">
        <v>9.0492250059154414E-2</v>
      </c>
      <c r="L1794" s="1">
        <v>93.65988680614592</v>
      </c>
      <c r="M1794" s="1">
        <v>490.82226053355953</v>
      </c>
      <c r="N1794" s="1">
        <v>-13.922371805571471</v>
      </c>
      <c r="O1794" s="1">
        <v>8.9865035422713864E-7</v>
      </c>
    </row>
    <row r="1795" spans="1:15" x14ac:dyDescent="0.25">
      <c r="A1795">
        <v>3262.25</v>
      </c>
      <c r="B1795" s="1">
        <v>0.1</v>
      </c>
      <c r="C1795" s="1">
        <v>4.9202088597895157</v>
      </c>
      <c r="D1795" s="1">
        <v>540.9</v>
      </c>
      <c r="E1795" s="1">
        <v>676.85228958547225</v>
      </c>
      <c r="F1795" s="1">
        <v>299.46170506761581</v>
      </c>
      <c r="G1795" s="1">
        <v>3193.8354009739423</v>
      </c>
      <c r="H1795" s="1">
        <v>2.8159999999999998E-2</v>
      </c>
      <c r="I1795" s="1">
        <v>260.40148266749202</v>
      </c>
      <c r="J1795" s="1">
        <v>33.842614479273614</v>
      </c>
      <c r="K1795" s="1">
        <v>9.0478870239522516E-2</v>
      </c>
      <c r="L1795" s="1">
        <v>93.674396849997521</v>
      </c>
      <c r="M1795" s="1">
        <v>492.02088597894544</v>
      </c>
      <c r="N1795" s="1">
        <v>-13.92548180557147</v>
      </c>
      <c r="O1795" s="1">
        <v>8.9585989304177054E-7</v>
      </c>
    </row>
    <row r="1796" spans="1:15" x14ac:dyDescent="0.25">
      <c r="A1796">
        <v>3267.18</v>
      </c>
      <c r="B1796" s="1">
        <v>0.1</v>
      </c>
      <c r="C1796" s="1">
        <v>4.9322453454234712</v>
      </c>
      <c r="D1796" s="1">
        <v>541</v>
      </c>
      <c r="E1796" s="1">
        <v>679.25127924293167</v>
      </c>
      <c r="F1796" s="1">
        <v>300.50121553299988</v>
      </c>
      <c r="G1796" s="1">
        <v>3200.6279137105707</v>
      </c>
      <c r="H1796" s="1">
        <v>2.8159999999999998E-2</v>
      </c>
      <c r="I1796" s="1">
        <v>261.3054048113043</v>
      </c>
      <c r="J1796" s="1">
        <v>33.962563962146582</v>
      </c>
      <c r="K1796" s="1">
        <v>9.0465499788809439E-2</v>
      </c>
      <c r="L1796" s="1">
        <v>93.688901021071089</v>
      </c>
      <c r="M1796" s="1">
        <v>493.22453454233255</v>
      </c>
      <c r="N1796" s="1">
        <v>-13.92859180557147</v>
      </c>
      <c r="O1796" s="1">
        <v>8.930780967098579E-7</v>
      </c>
    </row>
    <row r="1797" spans="1:15" x14ac:dyDescent="0.25">
      <c r="A1797">
        <v>3272.12</v>
      </c>
      <c r="B1797" s="1">
        <v>0.1</v>
      </c>
      <c r="C1797" s="1">
        <v>4.9443323861264874</v>
      </c>
      <c r="D1797" s="1">
        <v>541.1</v>
      </c>
      <c r="E1797" s="1">
        <v>681.6635091892565</v>
      </c>
      <c r="F1797" s="1">
        <v>301.54633522054024</v>
      </c>
      <c r="G1797" s="1">
        <v>3207.4445487459461</v>
      </c>
      <c r="H1797" s="1">
        <v>2.8159999999999998E-2</v>
      </c>
      <c r="I1797" s="1">
        <v>262.21420453960025</v>
      </c>
      <c r="J1797" s="1">
        <v>34.083175459462829</v>
      </c>
      <c r="K1797" s="1">
        <v>9.0452138688943445E-2</v>
      </c>
      <c r="L1797" s="1">
        <v>93.703399331868169</v>
      </c>
      <c r="M1797" s="1">
        <v>494.43323861264616</v>
      </c>
      <c r="N1797" s="1">
        <v>-13.931701805571469</v>
      </c>
      <c r="O1797" s="1">
        <v>8.9030493832556653E-7</v>
      </c>
    </row>
    <row r="1798" spans="1:15" x14ac:dyDescent="0.25">
      <c r="A1798">
        <v>3277.08</v>
      </c>
      <c r="B1798" s="1">
        <v>0.1</v>
      </c>
      <c r="C1798" s="1">
        <v>4.9564703086515296</v>
      </c>
      <c r="D1798" s="1">
        <v>541.20000000000005</v>
      </c>
      <c r="E1798" s="1">
        <v>684.08908148054343</v>
      </c>
      <c r="F1798" s="1">
        <v>302.59710639071989</v>
      </c>
      <c r="G1798" s="1">
        <v>3214.2854395035065</v>
      </c>
      <c r="H1798" s="1">
        <v>2.8159999999999998E-2</v>
      </c>
      <c r="I1798" s="1">
        <v>263.12791860062606</v>
      </c>
      <c r="J1798" s="1">
        <v>34.204454074027176</v>
      </c>
      <c r="K1798" s="1">
        <v>9.0438786921807207E-2</v>
      </c>
      <c r="L1798" s="1">
        <v>93.717891794962355</v>
      </c>
      <c r="M1798" s="1">
        <v>495.64703086516602</v>
      </c>
      <c r="N1798" s="1">
        <v>-13.934811805571469</v>
      </c>
      <c r="O1798" s="1">
        <v>8.875403910666101E-7</v>
      </c>
    </row>
    <row r="1799" spans="1:15" x14ac:dyDescent="0.25">
      <c r="A1799">
        <v>3282.05</v>
      </c>
      <c r="B1799" s="1">
        <v>0.1</v>
      </c>
      <c r="C1799" s="1">
        <v>4.9686594426470343</v>
      </c>
      <c r="D1799" s="1">
        <v>541.30000000000007</v>
      </c>
      <c r="E1799" s="1">
        <v>686.52809919100832</v>
      </c>
      <c r="F1799" s="1">
        <v>303.6535717163141</v>
      </c>
      <c r="G1799" s="1">
        <v>3221.1507204374338</v>
      </c>
      <c r="H1799" s="1">
        <v>2.8159999999999998E-2</v>
      </c>
      <c r="I1799" s="1">
        <v>264.0465841011428</v>
      </c>
      <c r="J1799" s="1">
        <v>34.326404959550416</v>
      </c>
      <c r="K1799" s="1">
        <v>9.0425444469238406E-2</v>
      </c>
      <c r="L1799" s="1">
        <v>93.732378422998792</v>
      </c>
      <c r="M1799" s="1">
        <v>496.86594426470947</v>
      </c>
      <c r="N1799" s="1">
        <v>-13.937921805571472</v>
      </c>
      <c r="O1799" s="1">
        <v>8.8478442819398583E-7</v>
      </c>
    </row>
    <row r="1800" spans="1:15" x14ac:dyDescent="0.25">
      <c r="A1800">
        <v>3287.03</v>
      </c>
      <c r="B1800" s="1">
        <v>0.1</v>
      </c>
      <c r="C1800" s="1">
        <v>4.9809001206907384</v>
      </c>
      <c r="D1800" s="1">
        <v>541.4</v>
      </c>
      <c r="E1800" s="1">
        <v>688.98066642657523</v>
      </c>
      <c r="F1800" s="1">
        <v>304.71577428736941</v>
      </c>
      <c r="G1800" s="1">
        <v>3228.0405270429669</v>
      </c>
      <c r="H1800" s="1">
        <v>2.8159999999999998E-2</v>
      </c>
      <c r="I1800" s="1">
        <v>264.97023851075608</v>
      </c>
      <c r="J1800" s="1">
        <v>34.449033321328763</v>
      </c>
      <c r="K1800" s="1">
        <v>9.0412111313027788E-2</v>
      </c>
      <c r="L1800" s="1">
        <v>93.74685922869628</v>
      </c>
      <c r="M1800" s="1">
        <v>498.09001206908761</v>
      </c>
      <c r="N1800" s="1">
        <v>-13.941031805571471</v>
      </c>
      <c r="O1800" s="1">
        <v>8.8203702305173024E-7</v>
      </c>
    </row>
    <row r="1801" spans="1:15" x14ac:dyDescent="0.25">
      <c r="A1801">
        <v>3292.02</v>
      </c>
      <c r="B1801" s="1">
        <v>0.1</v>
      </c>
      <c r="C1801" s="1">
        <v>4.9931926783216394</v>
      </c>
      <c r="D1801" s="1">
        <v>541.5</v>
      </c>
      <c r="E1801" s="1">
        <v>691.44688833633336</v>
      </c>
      <c r="F1801" s="1">
        <v>305.78375761621498</v>
      </c>
      <c r="G1801" s="1">
        <v>3234.9549958668349</v>
      </c>
      <c r="H1801" s="1">
        <v>2.8159999999999998E-2</v>
      </c>
      <c r="I1801" s="1">
        <v>265.89891966627397</v>
      </c>
      <c r="J1801" s="1">
        <v>34.572344416816669</v>
      </c>
      <c r="K1801" s="1">
        <v>9.0398787434920497E-2</v>
      </c>
      <c r="L1801" s="1">
        <v>93.761334224846024</v>
      </c>
      <c r="M1801" s="1">
        <v>499.31926783215204</v>
      </c>
      <c r="N1801" s="1">
        <v>-13.944141805571471</v>
      </c>
      <c r="O1801" s="1">
        <v>8.7929814906664143E-7</v>
      </c>
    </row>
    <row r="1802" spans="1:15" x14ac:dyDescent="0.25">
      <c r="A1802">
        <v>3297.03</v>
      </c>
      <c r="B1802" s="1">
        <v>0.1</v>
      </c>
      <c r="C1802" s="1">
        <v>5.0055374540752524</v>
      </c>
      <c r="D1802" s="1">
        <v>541.6</v>
      </c>
      <c r="E1802" s="1">
        <v>693.92687112665999</v>
      </c>
      <c r="F1802" s="1">
        <v>306.85756564259827</v>
      </c>
      <c r="G1802" s="1">
        <v>3241.8942645178349</v>
      </c>
      <c r="H1802" s="1">
        <v>2.8159999999999998E-2</v>
      </c>
      <c r="I1802" s="1">
        <v>266.83266577617246</v>
      </c>
      <c r="J1802" s="1">
        <v>34.696343556332998</v>
      </c>
      <c r="K1802" s="1">
        <v>9.0385472816613771E-2</v>
      </c>
      <c r="L1802" s="1">
        <v>93.775803424314049</v>
      </c>
      <c r="M1802" s="1">
        <v>500.55374540752382</v>
      </c>
      <c r="N1802" s="1">
        <v>-13.94725180557147</v>
      </c>
      <c r="O1802" s="1">
        <v>8.7656777974803524E-7</v>
      </c>
    </row>
    <row r="1803" spans="1:15" x14ac:dyDescent="0.25">
      <c r="A1803">
        <v>3302.05</v>
      </c>
      <c r="B1803" s="1">
        <v>0.1</v>
      </c>
      <c r="C1803" s="1">
        <v>5.0179347895158841</v>
      </c>
      <c r="D1803" s="1">
        <v>541.70000000000005</v>
      </c>
      <c r="E1803" s="1">
        <v>696.42072207387605</v>
      </c>
      <c r="F1803" s="1">
        <v>307.93724273883583</v>
      </c>
      <c r="G1803" s="1">
        <v>3248.8584716775217</v>
      </c>
      <c r="H1803" s="1">
        <v>2.8159999999999998E-2</v>
      </c>
      <c r="I1803" s="1">
        <v>267.77151542507465</v>
      </c>
      <c r="J1803" s="1">
        <v>34.821036103693807</v>
      </c>
      <c r="K1803" s="1">
        <v>9.0372167439757151E-2</v>
      </c>
      <c r="L1803" s="1">
        <v>93.790266840041113</v>
      </c>
      <c r="M1803" s="1">
        <v>501.79347895159481</v>
      </c>
      <c r="N1803" s="1">
        <v>-13.95036180557147</v>
      </c>
      <c r="O1803" s="1">
        <v>8.7384588868748489E-7</v>
      </c>
    </row>
    <row r="1804" spans="1:15" x14ac:dyDescent="0.25">
      <c r="A1804">
        <v>3307.08</v>
      </c>
      <c r="B1804" s="1">
        <v>0.1</v>
      </c>
      <c r="C1804" s="1">
        <v>5.0303850292725008</v>
      </c>
      <c r="D1804" s="1">
        <v>541.80000000000007</v>
      </c>
      <c r="E1804" s="1">
        <v>698.92854953690357</v>
      </c>
      <c r="F1804" s="1">
        <v>309.02283371508196</v>
      </c>
      <c r="G1804" s="1">
        <v>3255.8477571110416</v>
      </c>
      <c r="H1804" s="1">
        <v>2.8159999999999998E-2</v>
      </c>
      <c r="I1804" s="1">
        <v>268.71550757833222</v>
      </c>
      <c r="J1804" s="1">
        <v>34.94642747684518</v>
      </c>
      <c r="K1804" s="1">
        <v>9.0358871285952783E-2</v>
      </c>
      <c r="L1804" s="1">
        <v>93.804724485042485</v>
      </c>
      <c r="M1804" s="1">
        <v>503.03850292725656</v>
      </c>
      <c r="N1804" s="1">
        <v>-13.953471805571469</v>
      </c>
      <c r="O1804" s="1">
        <v>8.7113244955856697E-7</v>
      </c>
    </row>
    <row r="1805" spans="1:15" x14ac:dyDescent="0.25">
      <c r="A1805">
        <v>3312.12</v>
      </c>
      <c r="B1805" s="1">
        <v>0.1</v>
      </c>
      <c r="C1805" s="1">
        <v>5.0428885210729355</v>
      </c>
      <c r="D1805" s="1">
        <v>541.9</v>
      </c>
      <c r="E1805" s="1">
        <v>701.45046297165334</v>
      </c>
      <c r="F1805" s="1">
        <v>310.11438382464632</v>
      </c>
      <c r="G1805" s="1">
        <v>3262.862261678099</v>
      </c>
      <c r="H1805" s="1">
        <v>2.8159999999999998E-2</v>
      </c>
      <c r="I1805" s="1">
        <v>269.66468158664907</v>
      </c>
      <c r="J1805" s="1">
        <v>35.072523148582668</v>
      </c>
      <c r="K1805" s="1">
        <v>9.0345584336753687E-2</v>
      </c>
      <c r="L1805" s="1">
        <v>93.8191763724098</v>
      </c>
      <c r="M1805" s="1">
        <v>504.28885210731096</v>
      </c>
      <c r="N1805" s="1">
        <v>-13.956581805571469</v>
      </c>
      <c r="O1805" s="1">
        <v>8.6842743611660543E-7</v>
      </c>
    </row>
    <row r="1806" spans="1:15" x14ac:dyDescent="0.25">
      <c r="A1806">
        <v>3317.17</v>
      </c>
      <c r="B1806" s="1">
        <v>0.1</v>
      </c>
      <c r="C1806" s="1">
        <v>5.055445615780588</v>
      </c>
      <c r="D1806" s="1">
        <v>542</v>
      </c>
      <c r="E1806" s="1">
        <v>703.98657294461486</v>
      </c>
      <c r="F1806" s="1">
        <v>311.21193876942556</v>
      </c>
      <c r="G1806" s="1">
        <v>3269.9021273440635</v>
      </c>
      <c r="H1806" s="1">
        <v>2.8159999999999998E-2</v>
      </c>
      <c r="I1806" s="1">
        <v>270.61907719080489</v>
      </c>
      <c r="J1806" s="1">
        <v>35.199328647230743</v>
      </c>
      <c r="K1806" s="1">
        <v>9.0332306573663382E-2</v>
      </c>
      <c r="L1806" s="1">
        <v>93.833622515311603</v>
      </c>
      <c r="M1806" s="1">
        <v>505.54456157806271</v>
      </c>
      <c r="N1806" s="1">
        <v>-13.959691805571472</v>
      </c>
      <c r="O1806" s="1">
        <v>8.6573082219841591E-7</v>
      </c>
    </row>
    <row r="1807" spans="1:15" x14ac:dyDescent="0.25">
      <c r="A1807">
        <v>3322.24</v>
      </c>
      <c r="B1807" s="1">
        <v>0.1</v>
      </c>
      <c r="C1807" s="1">
        <v>5.0680566674286309</v>
      </c>
      <c r="D1807" s="1">
        <v>542.1</v>
      </c>
      <c r="E1807" s="1">
        <v>706.5369911456454</v>
      </c>
      <c r="F1807" s="1">
        <v>312.31554470535622</v>
      </c>
      <c r="G1807" s="1">
        <v>3276.9674971912059</v>
      </c>
      <c r="H1807" s="1">
        <v>2.8159999999999998E-2</v>
      </c>
      <c r="I1807" s="1">
        <v>271.57873452639672</v>
      </c>
      <c r="J1807" s="1">
        <v>35.326849557282273</v>
      </c>
      <c r="K1807" s="1">
        <v>9.0319037978136868E-2</v>
      </c>
      <c r="L1807" s="1">
        <v>93.848062926992398</v>
      </c>
      <c r="M1807" s="1">
        <v>506.80566674286638</v>
      </c>
      <c r="N1807" s="1">
        <v>-13.962801805571472</v>
      </c>
      <c r="O1807" s="1">
        <v>8.6304258172206395E-7</v>
      </c>
    </row>
    <row r="1808" spans="1:15" x14ac:dyDescent="0.25">
      <c r="A1808">
        <v>3327.32</v>
      </c>
      <c r="B1808" s="1">
        <v>0.1</v>
      </c>
      <c r="C1808" s="1">
        <v>5.0807220332583274</v>
      </c>
      <c r="D1808" s="1">
        <v>542.20000000000005</v>
      </c>
      <c r="E1808" s="1">
        <v>709.10183040422407</v>
      </c>
      <c r="F1808" s="1">
        <v>313.42524824800495</v>
      </c>
      <c r="G1808" s="1">
        <v>3284.0585154300861</v>
      </c>
      <c r="H1808" s="1">
        <v>2.8159999999999998E-2</v>
      </c>
      <c r="I1808" s="1">
        <v>272.54369412870005</v>
      </c>
      <c r="J1808" s="1">
        <v>35.455091520211205</v>
      </c>
      <c r="K1808" s="1">
        <v>9.0305778531577188E-2</v>
      </c>
      <c r="L1808" s="1">
        <v>93.862497620776324</v>
      </c>
      <c r="M1808" s="1">
        <v>508.0722033258553</v>
      </c>
      <c r="N1808" s="1">
        <v>-13.965911805571471</v>
      </c>
      <c r="O1808" s="1">
        <v>8.6036268868659466E-7</v>
      </c>
    </row>
    <row r="1809" spans="1:15" x14ac:dyDescent="0.25">
      <c r="A1809">
        <v>3332.42</v>
      </c>
      <c r="B1809" s="1">
        <v>0.1</v>
      </c>
      <c r="C1809" s="1">
        <v>5.0934420737548836</v>
      </c>
      <c r="D1809" s="1">
        <v>542.30000000000007</v>
      </c>
      <c r="E1809" s="1">
        <v>711.68120470130884</v>
      </c>
      <c r="F1809" s="1">
        <v>314.54109647820252</v>
      </c>
      <c r="G1809" s="1">
        <v>3291.1753274110742</v>
      </c>
      <c r="H1809" s="1">
        <v>2.8159999999999998E-2</v>
      </c>
      <c r="I1809" s="1">
        <v>273.51399693756741</v>
      </c>
      <c r="J1809" s="1">
        <v>35.584060235065444</v>
      </c>
      <c r="K1809" s="1">
        <v>9.0292528215338133E-2</v>
      </c>
      <c r="L1809" s="1">
        <v>93.876926610064388</v>
      </c>
      <c r="M1809" s="1">
        <v>509.34420737548862</v>
      </c>
      <c r="N1809" s="1">
        <v>-13.969021805571471</v>
      </c>
      <c r="O1809" s="1">
        <v>8.5769111717179387E-7</v>
      </c>
    </row>
    <row r="1810" spans="1:15" x14ac:dyDescent="0.25">
      <c r="A1810">
        <v>3337.52</v>
      </c>
      <c r="B1810" s="1">
        <v>0.1</v>
      </c>
      <c r="C1810" s="1">
        <v>5.1062171526854847</v>
      </c>
      <c r="D1810" s="1">
        <v>542.4</v>
      </c>
      <c r="E1810" s="1">
        <v>714.2752291851906</v>
      </c>
      <c r="F1810" s="1">
        <v>315.66313694777483</v>
      </c>
      <c r="G1810" s="1">
        <v>3298.318079636028</v>
      </c>
      <c r="H1810" s="1">
        <v>2.8159999999999998E-2</v>
      </c>
      <c r="I1810" s="1">
        <v>274.48968430241297</v>
      </c>
      <c r="J1810" s="1">
        <v>35.71376145925953</v>
      </c>
      <c r="K1810" s="1">
        <v>9.0279287010721979E-2</v>
      </c>
      <c r="L1810" s="1">
        <v>93.891349908336991</v>
      </c>
      <c r="M1810" s="1">
        <v>510.62171526855309</v>
      </c>
      <c r="N1810" s="1">
        <v>-13.97213180557147</v>
      </c>
      <c r="O1810" s="1">
        <v>8.550278413379338E-7</v>
      </c>
    </row>
    <row r="1811" spans="1:15" x14ac:dyDescent="0.25">
      <c r="A1811">
        <v>3342.64</v>
      </c>
      <c r="B1811" s="1">
        <v>0.1</v>
      </c>
      <c r="C1811" s="1">
        <v>5.1190476371379301</v>
      </c>
      <c r="D1811" s="1">
        <v>542.5</v>
      </c>
      <c r="E1811" s="1">
        <v>716.88402018694751</v>
      </c>
      <c r="F1811" s="1">
        <v>316.79141768537596</v>
      </c>
      <c r="G1811" s="1">
        <v>3305.4869197701105</v>
      </c>
      <c r="H1811" s="1">
        <v>2.8159999999999998E-2</v>
      </c>
      <c r="I1811" s="1">
        <v>275.4707979872835</v>
      </c>
      <c r="J1811" s="1">
        <v>35.84420100934738</v>
      </c>
      <c r="K1811" s="1">
        <v>9.0266054898977946E-2</v>
      </c>
      <c r="L1811" s="1">
        <v>93.905767529155611</v>
      </c>
      <c r="M1811" s="1">
        <v>511.904763713801</v>
      </c>
      <c r="N1811" s="1">
        <v>-13.97524180557147</v>
      </c>
      <c r="O1811" s="1">
        <v>8.5237283542552364E-7</v>
      </c>
    </row>
    <row r="1812" spans="1:15" x14ac:dyDescent="0.25">
      <c r="A1812">
        <v>3347.77</v>
      </c>
      <c r="B1812" s="1">
        <v>0.1</v>
      </c>
      <c r="C1812" s="1">
        <v>5.1319338975577562</v>
      </c>
      <c r="D1812" s="1">
        <v>542.6</v>
      </c>
      <c r="E1812" s="1">
        <v>719.50769523336794</v>
      </c>
      <c r="F1812" s="1">
        <v>317.92598720235816</v>
      </c>
      <c r="G1812" s="1">
        <v>3312.6819966537546</v>
      </c>
      <c r="H1812" s="1">
        <v>2.8159999999999998E-2</v>
      </c>
      <c r="I1812" s="1">
        <v>276.45738017596358</v>
      </c>
      <c r="J1812" s="1">
        <v>35.975384761668401</v>
      </c>
      <c r="K1812" s="1">
        <v>9.0252831861304478E-2</v>
      </c>
      <c r="L1812" s="1">
        <v>93.920179486160549</v>
      </c>
      <c r="M1812" s="1">
        <v>513.19338975577011</v>
      </c>
      <c r="N1812" s="1">
        <v>-13.978351805571469</v>
      </c>
      <c r="O1812" s="1">
        <v>8.497260737550598E-7</v>
      </c>
    </row>
    <row r="1813" spans="1:15" x14ac:dyDescent="0.25">
      <c r="A1813">
        <v>3352.92</v>
      </c>
      <c r="B1813" s="1">
        <v>0.1</v>
      </c>
      <c r="C1813" s="1">
        <v>5.1448763077891755</v>
      </c>
      <c r="D1813" s="1">
        <v>542.70000000000005</v>
      </c>
      <c r="E1813" s="1">
        <v>722.14637306426971</v>
      </c>
      <c r="F1813" s="1">
        <v>319.06689449878581</v>
      </c>
      <c r="G1813" s="1">
        <v>3319.903460314792</v>
      </c>
      <c r="H1813" s="1">
        <v>2.8159999999999998E-2</v>
      </c>
      <c r="I1813" s="1">
        <v>277.44947347720512</v>
      </c>
      <c r="J1813" s="1">
        <v>36.10731865321349</v>
      </c>
      <c r="K1813" s="1">
        <v>9.0239617878845643E-2</v>
      </c>
      <c r="L1813" s="1">
        <v>93.934585793074703</v>
      </c>
      <c r="M1813" s="1">
        <v>514.48763077892181</v>
      </c>
      <c r="N1813" s="1">
        <v>-13.981461805571472</v>
      </c>
      <c r="O1813" s="1">
        <v>8.4708753072677532E-7</v>
      </c>
    </row>
    <row r="1814" spans="1:15" x14ac:dyDescent="0.25">
      <c r="A1814">
        <v>3358.08</v>
      </c>
      <c r="B1814" s="1">
        <v>0.1</v>
      </c>
      <c r="C1814" s="1">
        <v>5.157875245112912</v>
      </c>
      <c r="D1814" s="1">
        <v>542.80000000000007</v>
      </c>
      <c r="E1814" s="1">
        <v>724.80017364595642</v>
      </c>
      <c r="F1814" s="1">
        <v>320.21418906947827</v>
      </c>
      <c r="G1814" s="1">
        <v>3327.151461980714</v>
      </c>
      <c r="H1814" s="1">
        <v>2.8159999999999998E-2</v>
      </c>
      <c r="I1814" s="1">
        <v>278.44712092998117</v>
      </c>
      <c r="J1814" s="1">
        <v>36.24000868229782</v>
      </c>
      <c r="K1814" s="1">
        <v>9.0226412932693373E-2</v>
      </c>
      <c r="L1814" s="1">
        <v>93.948986463701445</v>
      </c>
      <c r="M1814" s="1">
        <v>515.78752451127912</v>
      </c>
      <c r="N1814" s="1">
        <v>-13.984571805571472</v>
      </c>
      <c r="O1814" s="1">
        <v>8.4445718082040352E-7</v>
      </c>
    </row>
    <row r="1815" spans="1:15" x14ac:dyDescent="0.25">
      <c r="A1815">
        <v>3363.25</v>
      </c>
      <c r="B1815" s="1">
        <v>0.1</v>
      </c>
      <c r="C1815" s="1">
        <v>5.170931090288998</v>
      </c>
      <c r="D1815" s="1">
        <v>542.9</v>
      </c>
      <c r="E1815" s="1">
        <v>727.46921818906958</v>
      </c>
      <c r="F1815" s="1">
        <v>321.36792091022096</v>
      </c>
      <c r="G1815" s="1">
        <v>3334.4261540911225</v>
      </c>
      <c r="H1815" s="1">
        <v>2.8159999999999998E-2</v>
      </c>
      <c r="I1815" s="1">
        <v>279.45036600888784</v>
      </c>
      <c r="J1815" s="1">
        <v>36.373460909453478</v>
      </c>
      <c r="K1815" s="1">
        <v>9.0213217003883905E-2</v>
      </c>
      <c r="L1815" s="1">
        <v>93.963381511928347</v>
      </c>
      <c r="M1815" s="1">
        <v>517.09310902888319</v>
      </c>
      <c r="N1815" s="1">
        <v>-13.987681805571471</v>
      </c>
      <c r="O1815" s="1">
        <v>8.4183499859491342E-7</v>
      </c>
    </row>
    <row r="1816" spans="1:15" x14ac:dyDescent="0.25">
      <c r="A1816">
        <v>3368.43</v>
      </c>
      <c r="B1816" s="1">
        <v>0.1</v>
      </c>
      <c r="C1816" s="1">
        <v>5.1840442275948684</v>
      </c>
      <c r="D1816" s="1">
        <v>543</v>
      </c>
      <c r="E1816" s="1">
        <v>730.15362916217794</v>
      </c>
      <c r="F1816" s="1">
        <v>322.52814052397974</v>
      </c>
      <c r="G1816" s="1">
        <v>3341.7276903103011</v>
      </c>
      <c r="H1816" s="1">
        <v>2.8159999999999998E-2</v>
      </c>
      <c r="I1816" s="1">
        <v>280.45925262954768</v>
      </c>
      <c r="J1816" s="1">
        <v>36.507681458108898</v>
      </c>
      <c r="K1816" s="1">
        <v>9.0200030073400148E-2</v>
      </c>
      <c r="L1816" s="1">
        <v>93.97777095172485</v>
      </c>
      <c r="M1816" s="1">
        <v>518.4044227594768</v>
      </c>
      <c r="N1816" s="1">
        <v>-13.990791805571471</v>
      </c>
      <c r="O1816" s="1">
        <v>8.3922095868827616E-7</v>
      </c>
    </row>
    <row r="1817" spans="1:15" x14ac:dyDescent="0.25">
      <c r="A1817">
        <v>3373.63</v>
      </c>
      <c r="B1817" s="1">
        <v>0.1</v>
      </c>
      <c r="C1817" s="1">
        <v>5.1972150448690355</v>
      </c>
      <c r="D1817" s="1">
        <v>543.1</v>
      </c>
      <c r="E1817" s="1">
        <v>732.85353030976273</v>
      </c>
      <c r="F1817" s="1">
        <v>323.69489892728012</v>
      </c>
      <c r="G1817" s="1">
        <v>3349.0562255399796</v>
      </c>
      <c r="H1817" s="1">
        <v>2.8159999999999998E-2</v>
      </c>
      <c r="I1817" s="1">
        <v>281.47382515415666</v>
      </c>
      <c r="J1817" s="1">
        <v>36.642676515488141</v>
      </c>
      <c r="K1817" s="1">
        <v>9.018685212216887E-2</v>
      </c>
      <c r="L1817" s="1">
        <v>93.992154797145375</v>
      </c>
      <c r="M1817" s="1">
        <v>519.72150448691536</v>
      </c>
      <c r="N1817" s="1">
        <v>-13.99390180557147</v>
      </c>
      <c r="O1817" s="1">
        <v>8.3661503581721567E-7</v>
      </c>
    </row>
    <row r="1818" spans="1:15" x14ac:dyDescent="0.25">
      <c r="A1818">
        <v>3378.84</v>
      </c>
      <c r="B1818" s="1">
        <v>0.1</v>
      </c>
      <c r="C1818" s="1">
        <v>5.2104439335515487</v>
      </c>
      <c r="D1818" s="1">
        <v>543.20000000000005</v>
      </c>
      <c r="E1818" s="1">
        <v>735.56904666753906</v>
      </c>
      <c r="F1818" s="1">
        <v>324.8682476566301</v>
      </c>
      <c r="G1818" s="1">
        <v>3356.411915932244</v>
      </c>
      <c r="H1818" s="1">
        <v>2.8159999999999998E-2</v>
      </c>
      <c r="I1818" s="1">
        <v>282.49412839706974</v>
      </c>
      <c r="J1818" s="1">
        <v>36.778452333376954</v>
      </c>
      <c r="K1818" s="1">
        <v>9.0173683131061347E-2</v>
      </c>
      <c r="L1818" s="1">
        <v>94.006533062328614</v>
      </c>
      <c r="M1818" s="1">
        <v>521.04439335516872</v>
      </c>
      <c r="N1818" s="1">
        <v>-13.99701180557147</v>
      </c>
      <c r="O1818" s="1">
        <v>8.3401720477696534E-7</v>
      </c>
    </row>
    <row r="1819" spans="1:15" x14ac:dyDescent="0.25">
      <c r="A1819">
        <v>3384.06</v>
      </c>
      <c r="B1819" s="1">
        <v>0.1</v>
      </c>
      <c r="C1819" s="1">
        <v>5.2237312887279534</v>
      </c>
      <c r="D1819" s="1">
        <v>543.30000000000007</v>
      </c>
      <c r="E1819" s="1">
        <v>738.30030457950886</v>
      </c>
      <c r="F1819" s="1">
        <v>326.04823877508119</v>
      </c>
      <c r="G1819" s="1">
        <v>3363.7949189026194</v>
      </c>
      <c r="H1819" s="1">
        <v>2.8159999999999998E-2</v>
      </c>
      <c r="I1819" s="1">
        <v>283.52020763050547</v>
      </c>
      <c r="J1819" s="1">
        <v>36.915015228975442</v>
      </c>
      <c r="K1819" s="1">
        <v>9.0160523080892216E-2</v>
      </c>
      <c r="L1819" s="1">
        <v>94.020905761498966</v>
      </c>
      <c r="M1819" s="1">
        <v>522.37312887277767</v>
      </c>
      <c r="N1819" s="1">
        <v>-14.000121805571467</v>
      </c>
      <c r="O1819" s="1">
        <v>8.3142744044102317E-7</v>
      </c>
    </row>
    <row r="1820" spans="1:15" x14ac:dyDescent="0.25">
      <c r="A1820">
        <v>3389.3</v>
      </c>
      <c r="B1820" s="1">
        <v>0.1</v>
      </c>
      <c r="C1820" s="1">
        <v>5.2370775091718027</v>
      </c>
      <c r="D1820" s="1">
        <v>543.4</v>
      </c>
      <c r="E1820" s="1">
        <v>741.04743171461428</v>
      </c>
      <c r="F1820" s="1">
        <v>327.23492487886278</v>
      </c>
      <c r="G1820" s="1">
        <v>3371.2053931433229</v>
      </c>
      <c r="H1820" s="1">
        <v>2.8159999999999998E-2</v>
      </c>
      <c r="I1820" s="1">
        <v>284.55210859031553</v>
      </c>
      <c r="J1820" s="1">
        <v>37.052371585730718</v>
      </c>
      <c r="K1820" s="1">
        <v>9.0147371952419245E-2</v>
      </c>
      <c r="L1820" s="1">
        <v>94.035272908966803</v>
      </c>
      <c r="M1820" s="1">
        <v>523.70775091717405</v>
      </c>
      <c r="N1820" s="1">
        <v>-14.003231805571472</v>
      </c>
      <c r="O1820" s="1">
        <v>8.2884571776090615E-7</v>
      </c>
    </row>
    <row r="1821" spans="1:15" x14ac:dyDescent="0.25">
      <c r="A1821">
        <v>3394.55</v>
      </c>
      <c r="B1821" s="1">
        <v>0.1</v>
      </c>
      <c r="C1821" s="1">
        <v>5.250482997388267</v>
      </c>
      <c r="D1821" s="1">
        <v>543.5</v>
      </c>
      <c r="E1821" s="1">
        <v>743.810557084057</v>
      </c>
      <c r="F1821" s="1">
        <v>328.42835910410832</v>
      </c>
      <c r="G1821" s="1">
        <v>3378.6434986366799</v>
      </c>
      <c r="H1821" s="1">
        <v>2.8159999999999998E-2</v>
      </c>
      <c r="I1821" s="1">
        <v>285.58987748183341</v>
      </c>
      <c r="J1821" s="1">
        <v>37.190527854202848</v>
      </c>
      <c r="K1821" s="1">
        <v>9.0134229726342413E-2</v>
      </c>
      <c r="L1821" s="1">
        <v>94.049634519129583</v>
      </c>
      <c r="M1821" s="1">
        <v>525.04829973881897</v>
      </c>
      <c r="N1821" s="1">
        <v>-14.006341805571472</v>
      </c>
      <c r="O1821" s="1">
        <v>8.2627201176592048E-7</v>
      </c>
    </row>
    <row r="1822" spans="1:15" x14ac:dyDescent="0.25">
      <c r="A1822">
        <v>3399.81</v>
      </c>
      <c r="B1822" s="1">
        <v>0.1</v>
      </c>
      <c r="C1822" s="1">
        <v>5.2639481596605</v>
      </c>
      <c r="D1822" s="1">
        <v>543.6</v>
      </c>
      <c r="E1822" s="1">
        <v>746.58981105941712</v>
      </c>
      <c r="F1822" s="1">
        <v>329.62859513373957</v>
      </c>
      <c r="G1822" s="1">
        <v>3386.1093966687345</v>
      </c>
      <c r="H1822" s="1">
        <v>2.8159999999999998E-2</v>
      </c>
      <c r="I1822" s="1">
        <v>286.63356098586053</v>
      </c>
      <c r="J1822" s="1">
        <v>37.32949055297086</v>
      </c>
      <c r="K1822" s="1">
        <v>9.0121096383302554E-2</v>
      </c>
      <c r="L1822" s="1">
        <v>94.063990606473439</v>
      </c>
      <c r="M1822" s="1">
        <v>526.39481596606856</v>
      </c>
      <c r="N1822" s="1">
        <v>-14.009451805571471</v>
      </c>
      <c r="O1822" s="1">
        <v>8.2370629756290127E-7</v>
      </c>
    </row>
    <row r="1823" spans="1:15" x14ac:dyDescent="0.25">
      <c r="A1823">
        <v>3405.09</v>
      </c>
      <c r="B1823" s="1">
        <v>0.1</v>
      </c>
      <c r="C1823" s="1">
        <v>5.2774734060913024</v>
      </c>
      <c r="D1823" s="1">
        <v>543.70000000000005</v>
      </c>
      <c r="E1823" s="1">
        <v>749.38532538824097</v>
      </c>
      <c r="F1823" s="1">
        <v>330.83568720434454</v>
      </c>
      <c r="G1823" s="1">
        <v>3393.6032498430018</v>
      </c>
      <c r="H1823" s="1">
        <v>2.8159999999999998E-2</v>
      </c>
      <c r="I1823" s="1">
        <v>287.68320626464748</v>
      </c>
      <c r="J1823" s="1">
        <v>37.469266269412053</v>
      </c>
      <c r="K1823" s="1">
        <v>9.0107971903883116E-2</v>
      </c>
      <c r="L1823" s="1">
        <v>94.078341185571247</v>
      </c>
      <c r="M1823" s="1">
        <v>527.74734060913033</v>
      </c>
      <c r="N1823" s="1">
        <v>-14.012561805571471</v>
      </c>
      <c r="O1823" s="1">
        <v>8.2114855033598419E-7</v>
      </c>
    </row>
    <row r="1824" spans="1:15" x14ac:dyDescent="0.25">
      <c r="A1824">
        <v>3410.38</v>
      </c>
      <c r="B1824" s="1">
        <v>0.1</v>
      </c>
      <c r="C1824" s="1">
        <v>5.2910591506526838</v>
      </c>
      <c r="D1824" s="1">
        <v>543.80000000000007</v>
      </c>
      <c r="E1824" s="1">
        <v>752.19723321415802</v>
      </c>
      <c r="F1824" s="1">
        <v>332.04969011327944</v>
      </c>
      <c r="G1824" s="1">
        <v>3401.125222094437</v>
      </c>
      <c r="H1824" s="1">
        <v>2.8159999999999998E-2</v>
      </c>
      <c r="I1824" s="1">
        <v>288.73886096806916</v>
      </c>
      <c r="J1824" s="1">
        <v>37.609861660707899</v>
      </c>
      <c r="K1824" s="1">
        <v>9.0094856268607026E-2</v>
      </c>
      <c r="L1824" s="1">
        <v>94.092686271086265</v>
      </c>
      <c r="M1824" s="1">
        <v>529.10591506524725</v>
      </c>
      <c r="N1824" s="1">
        <v>-14.01567180557147</v>
      </c>
      <c r="O1824" s="1">
        <v>8.1859874534636224E-7</v>
      </c>
    </row>
    <row r="1825" spans="1:15" x14ac:dyDescent="0.25">
      <c r="A1825">
        <v>3415.69</v>
      </c>
      <c r="B1825" s="1">
        <v>0.1</v>
      </c>
      <c r="C1825" s="1">
        <v>5.3047058112308125</v>
      </c>
      <c r="D1825" s="1">
        <v>543.9</v>
      </c>
      <c r="E1825" s="1">
        <v>755.02566909486643</v>
      </c>
      <c r="F1825" s="1">
        <v>333.27065922582574</v>
      </c>
      <c r="G1825" s="1">
        <v>3408.6754787035693</v>
      </c>
      <c r="H1825" s="1">
        <v>2.8159999999999998E-2</v>
      </c>
      <c r="I1825" s="1">
        <v>289.80057323984852</v>
      </c>
      <c r="J1825" s="1">
        <v>37.751283454743323</v>
      </c>
      <c r="K1825" s="1">
        <v>9.0081749457936428E-2</v>
      </c>
      <c r="L1825" s="1">
        <v>94.107025877772472</v>
      </c>
      <c r="M1825" s="1">
        <v>530.47058112306331</v>
      </c>
      <c r="N1825" s="1">
        <v>-14.01878180557147</v>
      </c>
      <c r="O1825" s="1">
        <v>8.1605685793204689E-7</v>
      </c>
    </row>
    <row r="1826" spans="1:15" x14ac:dyDescent="0.25">
      <c r="A1826">
        <v>3421.01</v>
      </c>
      <c r="B1826" s="1">
        <v>0.1</v>
      </c>
      <c r="C1826" s="1">
        <v>5.3184138096722116</v>
      </c>
      <c r="D1826" s="1">
        <v>544</v>
      </c>
      <c r="E1826" s="1">
        <v>757.87076901905334</v>
      </c>
      <c r="F1826" s="1">
        <v>334.49865048242572</v>
      </c>
      <c r="G1826" s="1">
        <v>3416.2541863108154</v>
      </c>
      <c r="H1826" s="1">
        <v>2.8159999999999998E-2</v>
      </c>
      <c r="I1826" s="1">
        <v>290.8683917238485</v>
      </c>
      <c r="J1826" s="1">
        <v>37.893538450952668</v>
      </c>
      <c r="K1826" s="1">
        <v>9.0068651452273718E-2</v>
      </c>
      <c r="L1826" s="1">
        <v>94.121360020473446</v>
      </c>
      <c r="M1826" s="1">
        <v>531.84138096721654</v>
      </c>
      <c r="N1826" s="1">
        <v>-14.021891805571469</v>
      </c>
      <c r="O1826" s="1">
        <v>8.1352286350762891E-7</v>
      </c>
    </row>
    <row r="1827" spans="1:15" x14ac:dyDescent="0.25">
      <c r="A1827">
        <v>3426.34</v>
      </c>
      <c r="B1827" s="1">
        <v>0.1</v>
      </c>
      <c r="C1827" s="1">
        <v>5.3321835718335375</v>
      </c>
      <c r="D1827" s="1">
        <v>544.1</v>
      </c>
      <c r="E1827" s="1">
        <v>760.7326704267781</v>
      </c>
      <c r="F1827" s="1">
        <v>335.73372040609047</v>
      </c>
      <c r="G1827" s="1">
        <v>3423.8615129309942</v>
      </c>
      <c r="H1827" s="1">
        <v>2.8159999999999998E-2</v>
      </c>
      <c r="I1827" s="1">
        <v>291.94236557051352</v>
      </c>
      <c r="J1827" s="1">
        <v>38.036633521338906</v>
      </c>
      <c r="K1827" s="1">
        <v>9.0055562231959138E-2</v>
      </c>
      <c r="L1827" s="1">
        <v>94.135688714125109</v>
      </c>
      <c r="M1827" s="1">
        <v>533.21835718334114</v>
      </c>
      <c r="N1827" s="1">
        <v>-14.025001805571469</v>
      </c>
      <c r="O1827" s="1">
        <v>8.1099673756404111E-7</v>
      </c>
    </row>
    <row r="1828" spans="1:15" x14ac:dyDescent="0.25">
      <c r="A1828">
        <v>3431.68</v>
      </c>
      <c r="B1828" s="1">
        <v>0.1</v>
      </c>
      <c r="C1828" s="1">
        <v>5.3460155276286541</v>
      </c>
      <c r="D1828" s="1">
        <v>544.20000000000005</v>
      </c>
      <c r="E1828" s="1">
        <v>763.61151222839044</v>
      </c>
      <c r="F1828" s="1">
        <v>336.97592610987158</v>
      </c>
      <c r="G1828" s="1">
        <v>3431.4976279680236</v>
      </c>
      <c r="H1828" s="1">
        <v>2.8159999999999998E-2</v>
      </c>
      <c r="I1828" s="1">
        <v>293.02254444336666</v>
      </c>
      <c r="J1828" s="1">
        <v>38.18057561141952</v>
      </c>
      <c r="K1828" s="1">
        <v>9.0042481777270478E-2</v>
      </c>
      <c r="L1828" s="1">
        <v>94.150011973756278</v>
      </c>
      <c r="M1828" s="1">
        <v>534.60155276288788</v>
      </c>
      <c r="N1828" s="1">
        <v>-14.028111805571472</v>
      </c>
      <c r="O1828" s="1">
        <v>8.0847845566831816E-7</v>
      </c>
    </row>
    <row r="1829" spans="1:15" x14ac:dyDescent="0.25">
      <c r="A1829">
        <v>3437.04</v>
      </c>
      <c r="B1829" s="1">
        <v>0.1</v>
      </c>
      <c r="C1829" s="1">
        <v>5.3599101110786265</v>
      </c>
      <c r="D1829" s="1">
        <v>544.30000000000007</v>
      </c>
      <c r="E1829" s="1">
        <v>766.50743482291614</v>
      </c>
      <c r="F1829" s="1">
        <v>338.22532530447018</v>
      </c>
      <c r="G1829" s="1">
        <v>3439.1627022298144</v>
      </c>
      <c r="H1829" s="1">
        <v>2.8159999999999998E-2</v>
      </c>
      <c r="I1829" s="1">
        <v>294.10897852562624</v>
      </c>
      <c r="J1829" s="1">
        <v>38.325371741145808</v>
      </c>
      <c r="K1829" s="1">
        <v>9.0029410068423327E-2</v>
      </c>
      <c r="L1829" s="1">
        <v>94.164329814488269</v>
      </c>
      <c r="M1829" s="1">
        <v>535.99101110785341</v>
      </c>
      <c r="N1829" s="1">
        <v>-14.031221805571471</v>
      </c>
      <c r="O1829" s="1">
        <v>8.0596799346337184E-7</v>
      </c>
    </row>
    <row r="1830" spans="1:15" x14ac:dyDescent="0.25">
      <c r="A1830">
        <v>3442.42</v>
      </c>
      <c r="B1830" s="1">
        <v>0.1</v>
      </c>
      <c r="C1830" s="1">
        <v>5.373867760362085</v>
      </c>
      <c r="D1830" s="1">
        <v>544.4</v>
      </c>
      <c r="E1830" s="1">
        <v>769.42058011910672</v>
      </c>
      <c r="F1830" s="1">
        <v>339.48197630597349</v>
      </c>
      <c r="G1830" s="1">
        <v>3446.8569079433637</v>
      </c>
      <c r="H1830" s="1">
        <v>2.8159999999999998E-2</v>
      </c>
      <c r="I1830" s="1">
        <v>295.20171852693352</v>
      </c>
      <c r="J1830" s="1">
        <v>38.471029005955337</v>
      </c>
      <c r="K1830" s="1">
        <v>9.0016347085569035E-2</v>
      </c>
      <c r="L1830" s="1">
        <v>94.178642251537426</v>
      </c>
      <c r="M1830" s="1">
        <v>537.3867760361918</v>
      </c>
      <c r="N1830" s="1">
        <v>-14.034331805571471</v>
      </c>
      <c r="O1830" s="1">
        <v>8.0346532666773843E-7</v>
      </c>
    </row>
    <row r="1831" spans="1:15" x14ac:dyDescent="0.25">
      <c r="A1831">
        <v>3447.81</v>
      </c>
      <c r="B1831" s="1">
        <v>0.1</v>
      </c>
      <c r="C1831" s="1">
        <v>5.3878889178651503</v>
      </c>
      <c r="D1831" s="1">
        <v>544.5</v>
      </c>
      <c r="E1831" s="1">
        <v>772.35109155462385</v>
      </c>
      <c r="F1831" s="1">
        <v>340.74593804368283</v>
      </c>
      <c r="G1831" s="1">
        <v>3454.5804187700451</v>
      </c>
      <c r="H1831" s="1">
        <v>2.8159999999999998E-2</v>
      </c>
      <c r="I1831" s="1">
        <v>296.30081569015903</v>
      </c>
      <c r="J1831" s="1">
        <v>38.617554577731198</v>
      </c>
      <c r="K1831" s="1">
        <v>9.0003292808794905E-2</v>
      </c>
      <c r="L1831" s="1">
        <v>94.192949300214792</v>
      </c>
      <c r="M1831" s="1">
        <v>538.78889178649843</v>
      </c>
      <c r="N1831" s="1">
        <v>-14.03744180557147</v>
      </c>
      <c r="O1831" s="1">
        <v>8.0097043107535463E-7</v>
      </c>
    </row>
    <row r="1832" spans="1:15" x14ac:dyDescent="0.25">
      <c r="A1832">
        <v>3453.21</v>
      </c>
      <c r="B1832" s="1">
        <v>0.1</v>
      </c>
      <c r="C1832" s="1">
        <v>5.4019740302333243</v>
      </c>
      <c r="D1832" s="1">
        <v>544.6</v>
      </c>
      <c r="E1832" s="1">
        <v>775.29911411655667</v>
      </c>
      <c r="F1832" s="1">
        <v>342.01727006807539</v>
      </c>
      <c r="G1832" s="1">
        <v>3462.3334098211012</v>
      </c>
      <c r="H1832" s="1">
        <v>2.8159999999999998E-2</v>
      </c>
      <c r="I1832" s="1">
        <v>297.40632179832647</v>
      </c>
      <c r="J1832" s="1">
        <v>38.764955705827838</v>
      </c>
      <c r="K1832" s="1">
        <v>8.9990247218123307E-2</v>
      </c>
      <c r="L1832" s="1">
        <v>94.207250975927366</v>
      </c>
      <c r="M1832" s="1">
        <v>540.19740302333048</v>
      </c>
      <c r="N1832" s="1">
        <v>-14.04055180557147</v>
      </c>
      <c r="O1832" s="1">
        <v>7.9848328255532135E-7</v>
      </c>
    </row>
    <row r="1833" spans="1:15" x14ac:dyDescent="0.25">
      <c r="A1833">
        <v>3458.62</v>
      </c>
      <c r="B1833" s="1">
        <v>0.1</v>
      </c>
      <c r="C1833" s="1">
        <v>5.4161235484240917</v>
      </c>
      <c r="D1833" s="1">
        <v>544.70000000000005</v>
      </c>
      <c r="E1833" s="1">
        <v>778.26479436193813</v>
      </c>
      <c r="F1833" s="1">
        <v>343.29603255889879</v>
      </c>
      <c r="G1833" s="1">
        <v>3470.1160576733482</v>
      </c>
      <c r="H1833" s="1">
        <v>2.8159999999999998E-2</v>
      </c>
      <c r="I1833" s="1">
        <v>298.51828918165126</v>
      </c>
      <c r="J1833" s="1">
        <v>38.913239718096911</v>
      </c>
      <c r="K1833" s="1">
        <v>8.9977210293511217E-2</v>
      </c>
      <c r="L1833" s="1">
        <v>94.22154729417862</v>
      </c>
      <c r="M1833" s="1">
        <v>541.61235484239114</v>
      </c>
      <c r="N1833" s="1">
        <v>-14.043661805571469</v>
      </c>
      <c r="O1833" s="1">
        <v>7.9600385705167017E-7</v>
      </c>
    </row>
    <row r="1834" spans="1:15" x14ac:dyDescent="0.25">
      <c r="A1834">
        <v>3464.05</v>
      </c>
      <c r="B1834" s="1">
        <v>0.1</v>
      </c>
      <c r="C1834" s="1">
        <v>5.4303379277597568</v>
      </c>
      <c r="D1834" s="1">
        <v>544.80000000000007</v>
      </c>
      <c r="E1834" s="1">
        <v>781.24828043972809</v>
      </c>
      <c r="F1834" s="1">
        <v>344.58228633338291</v>
      </c>
      <c r="G1834" s="1">
        <v>3477.9285403850863</v>
      </c>
      <c r="H1834" s="1">
        <v>2.8159999999999998E-2</v>
      </c>
      <c r="I1834" s="1">
        <v>299.6367707246809</v>
      </c>
      <c r="J1834" s="1">
        <v>39.062414021986406</v>
      </c>
      <c r="K1834" s="1">
        <v>8.9964182014848251E-2</v>
      </c>
      <c r="L1834" s="1">
        <v>94.235838270570724</v>
      </c>
      <c r="M1834" s="1">
        <v>543.03379277598651</v>
      </c>
      <c r="N1834" s="1">
        <v>-14.046771805571469</v>
      </c>
      <c r="O1834" s="1">
        <v>7.9353213058313018E-7</v>
      </c>
    </row>
    <row r="1835" spans="1:15" x14ac:dyDescent="0.25">
      <c r="A1835">
        <v>3469.5</v>
      </c>
      <c r="B1835" s="1">
        <v>0.1</v>
      </c>
      <c r="C1835" s="1">
        <v>5.4446176279811311</v>
      </c>
      <c r="D1835" s="1">
        <v>544.9</v>
      </c>
      <c r="E1835" s="1">
        <v>784.24972211013073</v>
      </c>
      <c r="F1835" s="1">
        <v>345.87609285457449</v>
      </c>
      <c r="G1835" s="1">
        <v>3485.7710375122224</v>
      </c>
      <c r="H1835" s="1">
        <v>2.8159999999999998E-2</v>
      </c>
      <c r="I1835" s="1">
        <v>300.76181987354306</v>
      </c>
      <c r="J1835" s="1">
        <v>39.212486105506542</v>
      </c>
      <c r="K1835" s="1">
        <v>8.995116236195827E-2</v>
      </c>
      <c r="L1835" s="1">
        <v>94.250123920802935</v>
      </c>
      <c r="M1835" s="1">
        <v>544.4617627981188</v>
      </c>
      <c r="N1835" s="1">
        <v>-14.049881805571472</v>
      </c>
      <c r="O1835" s="1">
        <v>7.9106807924289408E-7</v>
      </c>
    </row>
    <row r="1836" spans="1:15" x14ac:dyDescent="0.25">
      <c r="A1836">
        <v>3474.96</v>
      </c>
      <c r="B1836" s="1">
        <v>0.1</v>
      </c>
      <c r="C1836" s="1">
        <v>5.4589631133026018</v>
      </c>
      <c r="D1836" s="1">
        <v>545</v>
      </c>
      <c r="E1836" s="1">
        <v>787.26927076870902</v>
      </c>
      <c r="F1836" s="1">
        <v>347.17751423981349</v>
      </c>
      <c r="G1836" s="1">
        <v>3493.6437301246146</v>
      </c>
      <c r="H1836" s="1">
        <v>2.8159999999999998E-2</v>
      </c>
      <c r="I1836" s="1">
        <v>301.89349064331611</v>
      </c>
      <c r="J1836" s="1">
        <v>39.363463538435454</v>
      </c>
      <c r="K1836" s="1">
        <v>8.9938151314595968E-2</v>
      </c>
      <c r="L1836" s="1">
        <v>94.264404260675406</v>
      </c>
      <c r="M1836" s="1">
        <v>545.8963113302616</v>
      </c>
      <c r="N1836" s="1">
        <v>-14.052991805571471</v>
      </c>
      <c r="O1836" s="1">
        <v>7.8861167919839679E-7</v>
      </c>
    </row>
    <row r="1837" spans="1:15" x14ac:dyDescent="0.25">
      <c r="A1837">
        <v>3480.43</v>
      </c>
      <c r="B1837" s="1">
        <v>0.1</v>
      </c>
      <c r="C1837" s="1">
        <v>5.4733748524671055</v>
      </c>
      <c r="D1837" s="1">
        <v>545.1</v>
      </c>
      <c r="E1837" s="1">
        <v>790.3070794659684</v>
      </c>
      <c r="F1837" s="1">
        <v>348.48661326932597</v>
      </c>
      <c r="G1837" s="1">
        <v>3501.5468008226303</v>
      </c>
      <c r="H1837" s="1">
        <v>2.8159999999999998E-2</v>
      </c>
      <c r="I1837" s="1">
        <v>303.03183762550094</v>
      </c>
      <c r="J1837" s="1">
        <v>39.515353973298424</v>
      </c>
      <c r="K1837" s="1">
        <v>8.9925148852448678E-2</v>
      </c>
      <c r="L1837" s="1">
        <v>94.27867930608727</v>
      </c>
      <c r="M1837" s="1">
        <v>547.33748524672592</v>
      </c>
      <c r="N1837" s="1">
        <v>-14.056101805571471</v>
      </c>
      <c r="O1837" s="1">
        <v>7.8616290669106983E-7</v>
      </c>
    </row>
    <row r="1838" spans="1:15" x14ac:dyDescent="0.25">
      <c r="A1838">
        <v>3485.92</v>
      </c>
      <c r="B1838" s="1">
        <v>0.1</v>
      </c>
      <c r="C1838" s="1">
        <v>5.4878533188037952</v>
      </c>
      <c r="D1838" s="1">
        <v>545.20000000000005</v>
      </c>
      <c r="E1838" s="1">
        <v>793.36330293267031</v>
      </c>
      <c r="F1838" s="1">
        <v>349.80345339499252</v>
      </c>
      <c r="G1838" s="1">
        <v>3509.4804337539385</v>
      </c>
      <c r="H1838" s="1">
        <v>2.8159999999999998E-2</v>
      </c>
      <c r="I1838" s="1">
        <v>304.17691599564569</v>
      </c>
      <c r="J1838" s="1">
        <v>39.66816514663352</v>
      </c>
      <c r="K1838" s="1">
        <v>8.9912154955132634E-2</v>
      </c>
      <c r="L1838" s="1">
        <v>94.292949073041001</v>
      </c>
      <c r="M1838" s="1">
        <v>548.78533188039</v>
      </c>
      <c r="N1838" s="1">
        <v>-14.059211805571469</v>
      </c>
      <c r="O1838" s="1">
        <v>7.8372173803612149E-7</v>
      </c>
    </row>
    <row r="1839" spans="1:15" x14ac:dyDescent="0.25">
      <c r="A1839">
        <v>3491.42</v>
      </c>
      <c r="B1839" s="1">
        <v>0.1</v>
      </c>
      <c r="C1839" s="1">
        <v>5.502398990282547</v>
      </c>
      <c r="D1839" s="1">
        <v>545.30000000000007</v>
      </c>
      <c r="E1839" s="1">
        <v>796.43809759848421</v>
      </c>
      <c r="F1839" s="1">
        <v>351.12809874916962</v>
      </c>
      <c r="G1839" s="1">
        <v>3517.4448146305081</v>
      </c>
      <c r="H1839" s="1">
        <v>2.8159999999999998E-2</v>
      </c>
      <c r="I1839" s="1">
        <v>305.32878152101705</v>
      </c>
      <c r="J1839" s="1">
        <v>39.821904879924212</v>
      </c>
      <c r="K1839" s="1">
        <v>8.9899169602196349E-2</v>
      </c>
      <c r="L1839" s="1">
        <v>94.307213577638564</v>
      </c>
      <c r="M1839" s="1">
        <v>550.23989902824724</v>
      </c>
      <c r="N1839" s="1">
        <v>-14.06232180557147</v>
      </c>
      <c r="O1839" s="1">
        <v>7.8128814962230498E-7</v>
      </c>
    </row>
    <row r="1840" spans="1:15" x14ac:dyDescent="0.25">
      <c r="A1840">
        <v>3496.94</v>
      </c>
      <c r="B1840" s="1">
        <v>0.1</v>
      </c>
      <c r="C1840" s="1">
        <v>5.5170123495755048</v>
      </c>
      <c r="D1840" s="1">
        <v>545.4</v>
      </c>
      <c r="E1840" s="1">
        <v>799.5316216195647</v>
      </c>
      <c r="F1840" s="1">
        <v>352.46061415376192</v>
      </c>
      <c r="G1840" s="1">
        <v>3525.4401307458688</v>
      </c>
      <c r="H1840" s="1">
        <v>2.8159999999999998E-2</v>
      </c>
      <c r="I1840" s="1">
        <v>306.48749056848874</v>
      </c>
      <c r="J1840" s="1">
        <v>39.976581080978235</v>
      </c>
      <c r="K1840" s="1">
        <v>8.988619277311527E-2</v>
      </c>
      <c r="L1840" s="1">
        <v>94.321472836087594</v>
      </c>
      <c r="M1840" s="1">
        <v>551.70123495754524</v>
      </c>
      <c r="N1840" s="1">
        <v>-14.065431805571469</v>
      </c>
      <c r="O1840" s="1">
        <v>7.788621179116915E-7</v>
      </c>
    </row>
    <row r="1841" spans="1:15" x14ac:dyDescent="0.25">
      <c r="A1841">
        <v>3502.47</v>
      </c>
      <c r="B1841" s="1">
        <v>0.1</v>
      </c>
      <c r="C1841" s="1">
        <v>5.5316938841131229</v>
      </c>
      <c r="D1841" s="1">
        <v>545.5</v>
      </c>
      <c r="E1841" s="1">
        <v>802.64403489866959</v>
      </c>
      <c r="F1841" s="1">
        <v>353.80106512934333</v>
      </c>
      <c r="G1841" s="1">
        <v>3533.4665709925757</v>
      </c>
      <c r="H1841" s="1">
        <v>2.8159999999999998E-2</v>
      </c>
      <c r="I1841" s="1">
        <v>307.6531001124726</v>
      </c>
      <c r="J1841" s="1">
        <v>40.132201744933482</v>
      </c>
      <c r="K1841" s="1">
        <v>8.9873224447294467E-2</v>
      </c>
      <c r="L1841" s="1">
        <v>94.335726864698458</v>
      </c>
      <c r="M1841" s="1">
        <v>553.16938841133378</v>
      </c>
      <c r="N1841" s="1">
        <v>-14.068541805571469</v>
      </c>
      <c r="O1841" s="1">
        <v>7.7644361943944062E-7</v>
      </c>
    </row>
    <row r="1842" spans="1:15" x14ac:dyDescent="0.25">
      <c r="A1842">
        <v>3508.02</v>
      </c>
      <c r="B1842" s="1">
        <v>0.1</v>
      </c>
      <c r="C1842" s="1">
        <v>5.5464440861462618</v>
      </c>
      <c r="D1842" s="1">
        <v>545.6</v>
      </c>
      <c r="E1842" s="1">
        <v>805.7754991110055</v>
      </c>
      <c r="F1842" s="1">
        <v>355.1495179044943</v>
      </c>
      <c r="G1842" s="1">
        <v>3541.5243258799396</v>
      </c>
      <c r="H1842" s="1">
        <v>2.8159999999999998E-2</v>
      </c>
      <c r="I1842" s="1">
        <v>308.82566774303859</v>
      </c>
      <c r="J1842" s="1">
        <v>40.288774955550281</v>
      </c>
      <c r="K1842" s="1">
        <v>8.9860264604065765E-2</v>
      </c>
      <c r="L1842" s="1">
        <v>94.349975679887478</v>
      </c>
      <c r="M1842" s="1">
        <v>554.64440861460389</v>
      </c>
      <c r="N1842" s="1">
        <v>-14.071651805571472</v>
      </c>
      <c r="O1842" s="1">
        <v>7.7403263081357145E-7</v>
      </c>
    </row>
    <row r="1843" spans="1:15" x14ac:dyDescent="0.25">
      <c r="A1843">
        <v>3513.58</v>
      </c>
      <c r="B1843" s="1">
        <v>0.1</v>
      </c>
      <c r="C1843" s="1">
        <v>5.5612634528043783</v>
      </c>
      <c r="D1843" s="1">
        <v>545.70000000000005</v>
      </c>
      <c r="E1843" s="1">
        <v>808.92617772714277</v>
      </c>
      <c r="F1843" s="1">
        <v>356.50603942520615</v>
      </c>
      <c r="G1843" s="1">
        <v>3549.6135875519694</v>
      </c>
      <c r="H1843" s="1">
        <v>2.8159999999999998E-2</v>
      </c>
      <c r="I1843" s="1">
        <v>310.00525167409234</v>
      </c>
      <c r="J1843" s="1">
        <v>40.446308886357144</v>
      </c>
      <c r="K1843" s="1">
        <v>8.9847313222688338E-2</v>
      </c>
      <c r="L1843" s="1">
        <v>94.364219298176494</v>
      </c>
      <c r="M1843" s="1">
        <v>556.1263452804269</v>
      </c>
      <c r="N1843" s="1">
        <v>-14.074761805571471</v>
      </c>
      <c r="O1843" s="1">
        <v>7.7162912871474762E-7</v>
      </c>
    </row>
    <row r="1844" spans="1:15" x14ac:dyDescent="0.25">
      <c r="A1844">
        <v>3519.15</v>
      </c>
      <c r="B1844" s="1">
        <v>0.1</v>
      </c>
      <c r="C1844" s="1">
        <v>5.5761524861599643</v>
      </c>
      <c r="D1844" s="1">
        <v>545.80000000000007</v>
      </c>
      <c r="E1844" s="1">
        <v>812.09623603832881</v>
      </c>
      <c r="F1844" s="1">
        <v>357.87069736452355</v>
      </c>
      <c r="G1844" s="1">
        <v>3557.7345498055934</v>
      </c>
      <c r="H1844" s="1">
        <v>2.8159999999999998E-2</v>
      </c>
      <c r="I1844" s="1">
        <v>311.19191075175962</v>
      </c>
      <c r="J1844" s="1">
        <v>40.604811801916441</v>
      </c>
      <c r="K1844" s="1">
        <v>8.9834370282347295E-2</v>
      </c>
      <c r="L1844" s="1">
        <v>94.378457736194463</v>
      </c>
      <c r="M1844" s="1">
        <v>557.61524861600265</v>
      </c>
      <c r="N1844" s="1">
        <v>-14.077871805571471</v>
      </c>
      <c r="O1844" s="1">
        <v>7.6923308989603512E-7</v>
      </c>
    </row>
    <row r="1845" spans="1:15" x14ac:dyDescent="0.25">
      <c r="A1845">
        <v>3524.75</v>
      </c>
      <c r="B1845" s="1">
        <v>0.1</v>
      </c>
      <c r="C1845" s="1">
        <v>5.5911116932896192</v>
      </c>
      <c r="D1845" s="1">
        <v>545.9</v>
      </c>
      <c r="E1845" s="1">
        <v>815.28584118180095</v>
      </c>
      <c r="F1845" s="1">
        <v>359.24356013228817</v>
      </c>
      <c r="G1845" s="1">
        <v>3565.8874081091062</v>
      </c>
      <c r="H1845" s="1">
        <v>2.8159999999999998E-2</v>
      </c>
      <c r="I1845" s="1">
        <v>312.38570446285934</v>
      </c>
      <c r="J1845" s="1">
        <v>40.764292059090053</v>
      </c>
      <c r="K1845" s="1">
        <v>8.9821435762152291E-2</v>
      </c>
      <c r="L1845" s="1">
        <v>94.392691010678973</v>
      </c>
      <c r="M1845" s="1">
        <v>559.1111693289804</v>
      </c>
      <c r="N1845" s="1">
        <v>-14.080981805571469</v>
      </c>
      <c r="O1845" s="1">
        <v>7.6684449118268843E-7</v>
      </c>
    </row>
    <row r="1846" spans="1:15" x14ac:dyDescent="0.25">
      <c r="A1846">
        <v>3530.35</v>
      </c>
      <c r="B1846" s="1">
        <v>0.1</v>
      </c>
      <c r="C1846" s="1">
        <v>5.6061415863379693</v>
      </c>
      <c r="D1846" s="1">
        <v>546</v>
      </c>
      <c r="E1846" s="1">
        <v>818.49516216556674</v>
      </c>
      <c r="F1846" s="1">
        <v>360.62469688504899</v>
      </c>
      <c r="G1846" s="1">
        <v>3574.0723596208845</v>
      </c>
      <c r="H1846" s="1">
        <v>2.8159999999999998E-2</v>
      </c>
      <c r="I1846" s="1">
        <v>313.58669294352092</v>
      </c>
      <c r="J1846" s="1">
        <v>40.92475810827834</v>
      </c>
      <c r="K1846" s="1">
        <v>8.9808509641137832E-2</v>
      </c>
      <c r="L1846" s="1">
        <v>94.406919138476312</v>
      </c>
      <c r="M1846" s="1">
        <v>560.61415863377988</v>
      </c>
      <c r="N1846" s="1">
        <v>-14.08409180557147</v>
      </c>
      <c r="O1846" s="1">
        <v>7.6446330947192276E-7</v>
      </c>
    </row>
    <row r="1847" spans="1:15" x14ac:dyDescent="0.25">
      <c r="A1847">
        <v>3535.97</v>
      </c>
      <c r="B1847" s="1">
        <v>0.1</v>
      </c>
      <c r="C1847" s="1">
        <v>5.6212426825824027</v>
      </c>
      <c r="D1847" s="1">
        <v>546.1</v>
      </c>
      <c r="E1847" s="1">
        <v>821.72436989451649</v>
      </c>
      <c r="F1847" s="1">
        <v>362.01417753613583</v>
      </c>
      <c r="G1847" s="1">
        <v>3582.2896032083549</v>
      </c>
      <c r="H1847" s="1">
        <v>2.8159999999999998E-2</v>
      </c>
      <c r="I1847" s="1">
        <v>314.79493698794431</v>
      </c>
      <c r="J1847" s="1">
        <v>41.086218494725827</v>
      </c>
      <c r="K1847" s="1">
        <v>8.9795591898261806E-2</v>
      </c>
      <c r="L1847" s="1">
        <v>94.421142136542855</v>
      </c>
      <c r="M1847" s="1">
        <v>562.12426825823059</v>
      </c>
      <c r="N1847" s="1">
        <v>-14.087201805571469</v>
      </c>
      <c r="O1847" s="1">
        <v>7.6208952173269237E-7</v>
      </c>
    </row>
    <row r="1848" spans="1:15" x14ac:dyDescent="0.25">
      <c r="A1848">
        <v>3541.61</v>
      </c>
      <c r="B1848" s="1">
        <v>0.1</v>
      </c>
      <c r="C1848" s="1">
        <v>5.6364155044986122</v>
      </c>
      <c r="D1848" s="1">
        <v>546.20000000000005</v>
      </c>
      <c r="E1848" s="1">
        <v>824.97363719733482</v>
      </c>
      <c r="F1848" s="1">
        <v>363.4120727658933</v>
      </c>
      <c r="G1848" s="1">
        <v>3590.5393394672269</v>
      </c>
      <c r="H1848" s="1">
        <v>2.8159999999999998E-2</v>
      </c>
      <c r="I1848" s="1">
        <v>316.01049805729849</v>
      </c>
      <c r="J1848" s="1">
        <v>41.248681859866743</v>
      </c>
      <c r="K1848" s="1">
        <v>8.9782682512404233E-2</v>
      </c>
      <c r="L1848" s="1">
        <v>94.435360021946877</v>
      </c>
      <c r="M1848" s="1">
        <v>563.64155044984727</v>
      </c>
      <c r="N1848" s="1">
        <v>-14.090311805571469</v>
      </c>
      <c r="O1848" s="1">
        <v>7.5972310500546618E-7</v>
      </c>
    </row>
    <row r="1849" spans="1:15" x14ac:dyDescent="0.25">
      <c r="A1849">
        <v>3547.26</v>
      </c>
      <c r="B1849" s="1">
        <v>0.1</v>
      </c>
      <c r="C1849" s="1">
        <v>5.6516605798272757</v>
      </c>
      <c r="D1849" s="1">
        <v>546.30000000000007</v>
      </c>
      <c r="E1849" s="1">
        <v>828.24313885234699</v>
      </c>
      <c r="F1849" s="1">
        <v>364.81845403208041</v>
      </c>
      <c r="G1849" s="1">
        <v>3598.8217707409931</v>
      </c>
      <c r="H1849" s="1">
        <v>2.8159999999999998E-2</v>
      </c>
      <c r="I1849" s="1">
        <v>317.23343828876563</v>
      </c>
      <c r="J1849" s="1">
        <v>41.412156942617351</v>
      </c>
      <c r="K1849" s="1">
        <v>8.976978146236729E-2</v>
      </c>
      <c r="L1849" s="1">
        <v>94.449572811868379</v>
      </c>
      <c r="M1849" s="1">
        <v>565.16605798274213</v>
      </c>
      <c r="N1849" s="1">
        <v>-14.093421805571472</v>
      </c>
      <c r="O1849" s="1">
        <v>7.5736403640200388E-7</v>
      </c>
    </row>
    <row r="1850" spans="1:15" x14ac:dyDescent="0.25">
      <c r="A1850">
        <v>3552.93</v>
      </c>
      <c r="B1850" s="1">
        <v>0.1</v>
      </c>
      <c r="C1850" s="1">
        <v>5.6669784416412368</v>
      </c>
      <c r="D1850" s="1">
        <v>546.4</v>
      </c>
      <c r="E1850" s="1">
        <v>831.53305161443041</v>
      </c>
      <c r="F1850" s="1">
        <v>366.23339358042512</v>
      </c>
      <c r="G1850" s="1">
        <v>3607.1371011406973</v>
      </c>
      <c r="H1850" s="1">
        <v>2.8159999999999998E-2</v>
      </c>
      <c r="I1850" s="1">
        <v>318.46382050471749</v>
      </c>
      <c r="J1850" s="1">
        <v>41.576652580721522</v>
      </c>
      <c r="K1850" s="1">
        <v>8.975688872687454E-2</v>
      </c>
      <c r="L1850" s="1">
        <v>94.463780523600121</v>
      </c>
      <c r="M1850" s="1">
        <v>566.69784416412767</v>
      </c>
      <c r="N1850" s="1">
        <v>-14.096531805571471</v>
      </c>
      <c r="O1850" s="1">
        <v>7.5501229310514494E-7</v>
      </c>
    </row>
    <row r="1851" spans="1:15" x14ac:dyDescent="0.25">
      <c r="A1851">
        <v>3558.61</v>
      </c>
      <c r="B1851" s="1">
        <v>0.1</v>
      </c>
      <c r="C1851" s="1">
        <v>5.6823696284156187</v>
      </c>
      <c r="D1851" s="1">
        <v>546.5</v>
      </c>
      <c r="E1851" s="1">
        <v>834.84355424459091</v>
      </c>
      <c r="F1851" s="1">
        <v>367.65696445539209</v>
      </c>
      <c r="G1851" s="1">
        <v>3615.4855365649905</v>
      </c>
      <c r="H1851" s="1">
        <v>2.8159999999999998E-2</v>
      </c>
      <c r="I1851" s="1">
        <v>319.70170822208019</v>
      </c>
      <c r="J1851" s="1">
        <v>41.742177712229548</v>
      </c>
      <c r="K1851" s="1">
        <v>8.9744004284568468E-2</v>
      </c>
      <c r="L1851" s="1">
        <v>94.477983174550673</v>
      </c>
      <c r="M1851" s="1">
        <v>568.23696284154721</v>
      </c>
      <c r="N1851" s="1">
        <v>-14.099641805571471</v>
      </c>
      <c r="O1851" s="1">
        <v>7.5266785236857227E-7</v>
      </c>
    </row>
    <row r="1852" spans="1:15" x14ac:dyDescent="0.25">
      <c r="A1852">
        <v>3564.31</v>
      </c>
      <c r="B1852" s="1">
        <v>0.1</v>
      </c>
      <c r="C1852" s="1">
        <v>5.6978346840960583</v>
      </c>
      <c r="D1852" s="1">
        <v>546.6</v>
      </c>
      <c r="E1852" s="1">
        <v>838.17482753620891</v>
      </c>
      <c r="F1852" s="1">
        <v>369.08924051107556</v>
      </c>
      <c r="G1852" s="1">
        <v>3623.8672847204566</v>
      </c>
      <c r="H1852" s="1">
        <v>2.8159999999999998E-2</v>
      </c>
      <c r="I1852" s="1">
        <v>320.94716566180495</v>
      </c>
      <c r="J1852" s="1">
        <v>41.908741376810447</v>
      </c>
      <c r="K1852" s="1">
        <v>8.9731128114010975E-2</v>
      </c>
      <c r="L1852" s="1">
        <v>94.49218078224358</v>
      </c>
      <c r="M1852" s="1">
        <v>569.78346840960512</v>
      </c>
      <c r="N1852" s="1">
        <v>-14.10275180557147</v>
      </c>
      <c r="O1852" s="1">
        <v>7.5033069151660199E-7</v>
      </c>
    </row>
    <row r="1853" spans="1:15" x14ac:dyDescent="0.25">
      <c r="A1853">
        <v>3570.02</v>
      </c>
      <c r="B1853" s="1">
        <v>0.1</v>
      </c>
      <c r="C1853" s="1">
        <v>5.7133741581703346</v>
      </c>
      <c r="D1853" s="1">
        <v>546.70000000000005</v>
      </c>
      <c r="E1853" s="1">
        <v>841.52705434341613</v>
      </c>
      <c r="F1853" s="1">
        <v>370.53029642229387</v>
      </c>
      <c r="G1853" s="1">
        <v>3632.2825551422243</v>
      </c>
      <c r="H1853" s="1">
        <v>2.8159999999999998E-2</v>
      </c>
      <c r="I1853" s="1">
        <v>322.20025775851644</v>
      </c>
      <c r="J1853" s="1">
        <v>42.076352717170806</v>
      </c>
      <c r="K1853" s="1">
        <v>8.9718260193683022E-2</v>
      </c>
      <c r="L1853" s="1">
        <v>94.506373364318222</v>
      </c>
      <c r="M1853" s="1">
        <v>571.33741581701543</v>
      </c>
      <c r="N1853" s="1">
        <v>-14.10586180557147</v>
      </c>
      <c r="O1853" s="1">
        <v>7.4800078794396271E-7</v>
      </c>
    </row>
    <row r="1854" spans="1:15" x14ac:dyDescent="0.25">
      <c r="A1854">
        <v>3575.75</v>
      </c>
      <c r="B1854" s="1">
        <v>0.1</v>
      </c>
      <c r="C1854" s="1">
        <v>5.7289886057405619</v>
      </c>
      <c r="D1854" s="1">
        <v>546.80000000000007</v>
      </c>
      <c r="E1854" s="1">
        <v>844.90041961227109</v>
      </c>
      <c r="F1854" s="1">
        <v>371.98020769587026</v>
      </c>
      <c r="G1854" s="1">
        <v>3640.7315592148757</v>
      </c>
      <c r="H1854" s="1">
        <v>2.8159999999999998E-2</v>
      </c>
      <c r="I1854" s="1">
        <v>323.46105017032198</v>
      </c>
      <c r="J1854" s="1">
        <v>42.24502098061356</v>
      </c>
      <c r="K1854" s="1">
        <v>8.9705400501981489E-2</v>
      </c>
      <c r="L1854" s="1">
        <v>94.520560938533293</v>
      </c>
      <c r="M1854" s="1">
        <v>572.89886057405965</v>
      </c>
      <c r="N1854" s="1">
        <v>-14.108971805571469</v>
      </c>
      <c r="O1854" s="1">
        <v>7.4567811911557558E-7</v>
      </c>
    </row>
    <row r="1855" spans="1:15" x14ac:dyDescent="0.25">
      <c r="A1855">
        <v>3581.49</v>
      </c>
      <c r="B1855" s="1">
        <v>0.1</v>
      </c>
      <c r="C1855" s="1">
        <v>5.7446785875956081</v>
      </c>
      <c r="D1855" s="1">
        <v>546.9</v>
      </c>
      <c r="E1855" s="1">
        <v>848.29511040753755</v>
      </c>
      <c r="F1855" s="1">
        <v>373.43905068207522</v>
      </c>
      <c r="G1855" s="1">
        <v>3649.2145101936467</v>
      </c>
      <c r="H1855" s="1">
        <v>2.8159999999999998E-2</v>
      </c>
      <c r="I1855" s="1">
        <v>324.72960928876108</v>
      </c>
      <c r="J1855" s="1">
        <v>42.414755520376879</v>
      </c>
      <c r="K1855" s="1">
        <v>8.9692549017220916E-2</v>
      </c>
      <c r="L1855" s="1">
        <v>94.534743522764899</v>
      </c>
      <c r="M1855" s="1">
        <v>574.46785875954447</v>
      </c>
      <c r="N1855" s="1">
        <v>-14.112081805571469</v>
      </c>
      <c r="O1855" s="1">
        <v>7.4336266256633748E-7</v>
      </c>
    </row>
    <row r="1856" spans="1:15" x14ac:dyDescent="0.25">
      <c r="A1856">
        <v>3587.26</v>
      </c>
      <c r="B1856" s="1">
        <v>0.1</v>
      </c>
      <c r="C1856" s="1">
        <v>5.7604446702866321</v>
      </c>
      <c r="D1856" s="1">
        <v>547</v>
      </c>
      <c r="E1856" s="1">
        <v>851.7113159451917</v>
      </c>
      <c r="F1856" s="1">
        <v>374.90690258629576</v>
      </c>
      <c r="G1856" s="1">
        <v>3657.7316232259259</v>
      </c>
      <c r="H1856" s="1">
        <v>2.8159999999999998E-2</v>
      </c>
      <c r="I1856" s="1">
        <v>326.00600224895294</v>
      </c>
      <c r="J1856" s="1">
        <v>42.585565797259591</v>
      </c>
      <c r="K1856" s="1">
        <v>8.9679705717630204E-2</v>
      </c>
      <c r="L1856" s="1">
        <v>94.548921135010445</v>
      </c>
      <c r="M1856" s="1">
        <v>576.04446702866881</v>
      </c>
      <c r="N1856" s="1">
        <v>-14.115191805571472</v>
      </c>
      <c r="O1856" s="1">
        <v>7.4105439590090058E-7</v>
      </c>
    </row>
    <row r="1857" spans="1:15" x14ac:dyDescent="0.25">
      <c r="A1857">
        <v>3593.03</v>
      </c>
      <c r="B1857" s="1">
        <v>0.1</v>
      </c>
      <c r="C1857" s="1">
        <v>5.7762874262012849</v>
      </c>
      <c r="D1857" s="1">
        <v>547.1</v>
      </c>
      <c r="E1857" s="1">
        <v>855.14922762106596</v>
      </c>
      <c r="F1857" s="1">
        <v>376.38384148085464</v>
      </c>
      <c r="G1857" s="1">
        <v>3666.2831153730622</v>
      </c>
      <c r="H1857" s="1">
        <v>2.8159999999999998E-2</v>
      </c>
      <c r="I1857" s="1">
        <v>327.29029693987371</v>
      </c>
      <c r="J1857" s="1">
        <v>42.757461381053304</v>
      </c>
      <c r="K1857" s="1">
        <v>8.9666870581353517E-2</v>
      </c>
      <c r="L1857" s="1">
        <v>94.563093793387736</v>
      </c>
      <c r="M1857" s="1">
        <v>577.62874262011792</v>
      </c>
      <c r="N1857" s="1">
        <v>-14.118301805571472</v>
      </c>
      <c r="O1857" s="1">
        <v>7.3875329679346596E-7</v>
      </c>
    </row>
    <row r="1858" spans="1:15" x14ac:dyDescent="0.25">
      <c r="A1858">
        <v>3598.82</v>
      </c>
      <c r="B1858" s="1">
        <v>0.1</v>
      </c>
      <c r="C1858" s="1">
        <v>5.7922074336416927</v>
      </c>
      <c r="D1858" s="1">
        <v>547.20000000000005</v>
      </c>
      <c r="E1858" s="1">
        <v>858.60903904309009</v>
      </c>
      <c r="F1858" s="1">
        <v>377.86994631706546</v>
      </c>
      <c r="G1858" s="1">
        <v>3674.8692056324862</v>
      </c>
      <c r="H1858" s="1">
        <v>2.8159999999999998E-2</v>
      </c>
      <c r="I1858" s="1">
        <v>328.5825620148396</v>
      </c>
      <c r="J1858" s="1">
        <v>42.930451952154506</v>
      </c>
      <c r="K1858" s="1">
        <v>8.9654043586448115E-2</v>
      </c>
      <c r="L1858" s="1">
        <v>94.577261516137497</v>
      </c>
      <c r="M1858" s="1">
        <v>579.2207433641579</v>
      </c>
      <c r="N1858" s="1">
        <v>-14.121411805571471</v>
      </c>
      <c r="O1858" s="1">
        <v>7.3645934298755239E-7</v>
      </c>
    </row>
    <row r="1859" spans="1:15" x14ac:dyDescent="0.25">
      <c r="A1859">
        <v>3604.63</v>
      </c>
      <c r="B1859" s="1">
        <v>0.1</v>
      </c>
      <c r="C1859" s="1">
        <v>5.8082052769010986</v>
      </c>
      <c r="D1859" s="1">
        <v>547.30000000000007</v>
      </c>
      <c r="E1859" s="1">
        <v>862.09094606246595</v>
      </c>
      <c r="F1859" s="1">
        <v>379.3652969374462</v>
      </c>
      <c r="G1859" s="1">
        <v>3683.4901149601342</v>
      </c>
      <c r="H1859" s="1">
        <v>2.8159999999999998E-2</v>
      </c>
      <c r="I1859" s="1">
        <v>329.8828669021272</v>
      </c>
      <c r="J1859" s="1">
        <v>43.104547303123297</v>
      </c>
      <c r="K1859" s="1">
        <v>8.9641224710883899E-2</v>
      </c>
      <c r="L1859" s="1">
        <v>94.591424321623975</v>
      </c>
      <c r="M1859" s="1">
        <v>580.82052769009351</v>
      </c>
      <c r="N1859" s="1">
        <v>-14.124521805571471</v>
      </c>
      <c r="O1859" s="1">
        <v>7.3417251229579144E-7</v>
      </c>
    </row>
    <row r="1860" spans="1:15" x14ac:dyDescent="0.25">
      <c r="A1860">
        <v>3610.46</v>
      </c>
      <c r="B1860" s="1">
        <v>0.1</v>
      </c>
      <c r="C1860" s="1">
        <v>5.824281546344328</v>
      </c>
      <c r="D1860" s="1">
        <v>547.4</v>
      </c>
      <c r="E1860" s="1">
        <v>865.5951468059086</v>
      </c>
      <c r="F1860" s="1">
        <v>380.86997408817649</v>
      </c>
      <c r="G1860" s="1">
        <v>3692.1460662932122</v>
      </c>
      <c r="H1860" s="1">
        <v>2.8159999999999998E-2</v>
      </c>
      <c r="I1860" s="1">
        <v>331.19128181580578</v>
      </c>
      <c r="J1860" s="1">
        <v>43.279757340295433</v>
      </c>
      <c r="K1860" s="1">
        <v>8.9628413932542159E-2</v>
      </c>
      <c r="L1860" s="1">
        <v>94.605582228336459</v>
      </c>
      <c r="M1860" s="1">
        <v>582.42815463445368</v>
      </c>
      <c r="N1860" s="1">
        <v>-14.12763180557147</v>
      </c>
      <c r="O1860" s="1">
        <v>7.3189278259971013E-7</v>
      </c>
    </row>
    <row r="1861" spans="1:15" x14ac:dyDescent="0.25">
      <c r="A1861">
        <v>3616.3</v>
      </c>
      <c r="B1861" s="1">
        <v>0.1</v>
      </c>
      <c r="C1861" s="1">
        <v>5.8404368384874159</v>
      </c>
      <c r="D1861" s="1">
        <v>547.5</v>
      </c>
      <c r="E1861" s="1">
        <v>869.12184170775402</v>
      </c>
      <c r="F1861" s="1">
        <v>382.38405943173507</v>
      </c>
      <c r="G1861" s="1">
        <v>3700.8372845732702</v>
      </c>
      <c r="H1861" s="1">
        <v>2.8159999999999998E-2</v>
      </c>
      <c r="I1861" s="1">
        <v>332.50787776672621</v>
      </c>
      <c r="J1861" s="1">
        <v>43.456092085387702</v>
      </c>
      <c r="K1861" s="1">
        <v>8.9615611229215228E-2</v>
      </c>
      <c r="L1861" s="1">
        <v>94.619735254889818</v>
      </c>
      <c r="M1861" s="1">
        <v>584.04368384872214</v>
      </c>
      <c r="N1861" s="1">
        <v>-14.13074180557147</v>
      </c>
      <c r="O1861" s="1">
        <v>7.2962013184951713E-7</v>
      </c>
    </row>
    <row r="1862" spans="1:15" x14ac:dyDescent="0.25">
      <c r="A1862">
        <v>3622.15</v>
      </c>
      <c r="B1862" s="1">
        <v>0.1</v>
      </c>
      <c r="C1862" s="1">
        <v>5.856671756079626</v>
      </c>
      <c r="D1862" s="1">
        <v>547.6</v>
      </c>
      <c r="E1862" s="1">
        <v>872.67123354433102</v>
      </c>
      <c r="F1862" s="1">
        <v>383.9076355597565</v>
      </c>
      <c r="G1862" s="1">
        <v>3709.5639967696175</v>
      </c>
      <c r="H1862" s="1">
        <v>2.8159999999999998E-2</v>
      </c>
      <c r="I1862" s="1">
        <v>333.83272657370139</v>
      </c>
      <c r="J1862" s="1">
        <v>43.633561677216555</v>
      </c>
      <c r="K1862" s="1">
        <v>8.9602816578604319E-2</v>
      </c>
      <c r="L1862" s="1">
        <v>94.63388342002699</v>
      </c>
      <c r="M1862" s="1">
        <v>585.6671756079777</v>
      </c>
      <c r="N1862" s="1">
        <v>-14.133851805571469</v>
      </c>
      <c r="O1862" s="1">
        <v>7.2735453806388922E-7</v>
      </c>
    </row>
    <row r="1863" spans="1:15" x14ac:dyDescent="0.25">
      <c r="A1863">
        <v>3628.03</v>
      </c>
      <c r="B1863" s="1">
        <v>0.1</v>
      </c>
      <c r="C1863" s="1">
        <v>5.8729869081865846</v>
      </c>
      <c r="D1863" s="1">
        <v>547.70000000000005</v>
      </c>
      <c r="E1863" s="1">
        <v>876.24352746673571</v>
      </c>
      <c r="F1863" s="1">
        <v>385.44078600610499</v>
      </c>
      <c r="G1863" s="1">
        <v>3718.3264319030768</v>
      </c>
      <c r="H1863" s="1">
        <v>2.8159999999999998E-2</v>
      </c>
      <c r="I1863" s="1">
        <v>335.16590087487401</v>
      </c>
      <c r="J1863" s="1">
        <v>43.81217637333679</v>
      </c>
      <c r="K1863" s="1">
        <v>8.9590029958319592E-2</v>
      </c>
      <c r="L1863" s="1">
        <v>94.648026742619081</v>
      </c>
      <c r="M1863" s="1">
        <v>587.29869081867037</v>
      </c>
      <c r="N1863" s="1">
        <v>-14.136961805571472</v>
      </c>
      <c r="O1863" s="1">
        <v>7.2509597932975689E-7</v>
      </c>
    </row>
    <row r="1864" spans="1:15" x14ac:dyDescent="0.25">
      <c r="A1864">
        <v>3633.92</v>
      </c>
      <c r="B1864" s="1">
        <v>0.1</v>
      </c>
      <c r="C1864" s="1">
        <v>5.8893829102747022</v>
      </c>
      <c r="D1864" s="1">
        <v>547.80000000000007</v>
      </c>
      <c r="E1864" s="1">
        <v>879.83893103560365</v>
      </c>
      <c r="F1864" s="1">
        <v>386.98359526016691</v>
      </c>
      <c r="G1864" s="1">
        <v>3727.1248210700746</v>
      </c>
      <c r="H1864" s="1">
        <v>2.8159999999999998E-2</v>
      </c>
      <c r="I1864" s="1">
        <v>336.50747413927564</v>
      </c>
      <c r="J1864" s="1">
        <v>43.991946551780188</v>
      </c>
      <c r="K1864" s="1">
        <v>8.9577251345878642E-2</v>
      </c>
      <c r="L1864" s="1">
        <v>94.662165241667168</v>
      </c>
      <c r="M1864" s="1">
        <v>588.93829102748896</v>
      </c>
      <c r="N1864" s="1">
        <v>-14.140071805571472</v>
      </c>
      <c r="O1864" s="1">
        <v>7.2284443380210136E-7</v>
      </c>
    </row>
    <row r="1865" spans="1:15" x14ac:dyDescent="0.25">
      <c r="A1865">
        <v>3639.82</v>
      </c>
      <c r="B1865" s="1">
        <v>0.1</v>
      </c>
      <c r="C1865" s="1">
        <v>5.9058603842970596</v>
      </c>
      <c r="D1865" s="1">
        <v>547.9</v>
      </c>
      <c r="E1865" s="1">
        <v>883.45765425654758</v>
      </c>
      <c r="F1865" s="1">
        <v>388.53614878036956</v>
      </c>
      <c r="G1865" s="1">
        <v>3735.9593974670897</v>
      </c>
      <c r="H1865" s="1">
        <v>2.8159999999999998E-2</v>
      </c>
      <c r="I1865" s="1">
        <v>337.85752067858232</v>
      </c>
      <c r="J1865" s="1">
        <v>44.172882712827381</v>
      </c>
      <c r="K1865" s="1">
        <v>8.956448071870507E-2</v>
      </c>
      <c r="L1865" s="1">
        <v>94.676298936303965</v>
      </c>
      <c r="M1865" s="1">
        <v>590.58603842972843</v>
      </c>
      <c r="N1865" s="1">
        <v>-14.143181805571471</v>
      </c>
      <c r="O1865" s="1">
        <v>7.2059987970372907E-7</v>
      </c>
    </row>
    <row r="1866" spans="1:15" x14ac:dyDescent="0.25">
      <c r="A1866">
        <v>3645.74</v>
      </c>
      <c r="B1866" s="1">
        <v>0.1</v>
      </c>
      <c r="C1866" s="1">
        <v>5.922419958780119</v>
      </c>
      <c r="D1866" s="1">
        <v>548</v>
      </c>
      <c r="E1866" s="1">
        <v>887.09990961413075</v>
      </c>
      <c r="F1866" s="1">
        <v>390.09853300791286</v>
      </c>
      <c r="G1866" s="1">
        <v>3744.8303964154516</v>
      </c>
      <c r="H1866" s="1">
        <v>2.8159999999999998E-2</v>
      </c>
      <c r="I1866" s="1">
        <v>339.21611565905465</v>
      </c>
      <c r="J1866" s="1">
        <v>44.354995480706542</v>
      </c>
      <c r="K1866" s="1">
        <v>8.955171805412894E-2</v>
      </c>
      <c r="L1866" s="1">
        <v>94.690427845793508</v>
      </c>
      <c r="M1866" s="1">
        <v>592.24199587802104</v>
      </c>
      <c r="N1866" s="1">
        <v>-14.146291805571471</v>
      </c>
      <c r="O1866" s="1">
        <v>7.1836229532507112E-7</v>
      </c>
    </row>
    <row r="1867" spans="1:15" x14ac:dyDescent="0.25">
      <c r="A1867">
        <v>3651.68</v>
      </c>
      <c r="B1867" s="1">
        <v>0.1</v>
      </c>
      <c r="C1867" s="1">
        <v>5.9390622689140233</v>
      </c>
      <c r="D1867" s="1">
        <v>548.1</v>
      </c>
      <c r="E1867" s="1">
        <v>890.76591211090238</v>
      </c>
      <c r="F1867" s="1">
        <v>391.67083538078447</v>
      </c>
      <c r="G1867" s="1">
        <v>3753.7380553865128</v>
      </c>
      <c r="H1867" s="1">
        <v>2.8159999999999998E-2</v>
      </c>
      <c r="I1867" s="1">
        <v>340.58333511372564</v>
      </c>
      <c r="J1867" s="1">
        <v>44.538295605545123</v>
      </c>
      <c r="K1867" s="1">
        <v>8.9538963329383048E-2</v>
      </c>
      <c r="L1867" s="1">
        <v>94.704551989535432</v>
      </c>
      <c r="M1867" s="1">
        <v>593.90622689138581</v>
      </c>
      <c r="N1867" s="1">
        <v>-14.14940180557147</v>
      </c>
      <c r="O1867" s="1">
        <v>7.1613165902396984E-7</v>
      </c>
    </row>
    <row r="1868" spans="1:15" x14ac:dyDescent="0.25">
      <c r="A1868">
        <v>3657.64</v>
      </c>
      <c r="B1868" s="1">
        <v>0.1</v>
      </c>
      <c r="C1868" s="1">
        <v>5.9557879754035605</v>
      </c>
      <c r="D1868" s="1">
        <v>548.20000000000005</v>
      </c>
      <c r="E1868" s="1">
        <v>894.45588212111466</v>
      </c>
      <c r="F1868" s="1">
        <v>393.25314490861211</v>
      </c>
      <c r="G1868" s="1">
        <v>3762.6826141795268</v>
      </c>
      <c r="H1868" s="1">
        <v>2.8159999999999998E-2</v>
      </c>
      <c r="I1868" s="1">
        <v>341.95925644227151</v>
      </c>
      <c r="J1868" s="1">
        <v>44.722794106055737</v>
      </c>
      <c r="K1868" s="1">
        <v>8.9526216518445945E-2</v>
      </c>
      <c r="L1868" s="1">
        <v>94.718671390562506</v>
      </c>
      <c r="M1868" s="1">
        <v>595.5787975403382</v>
      </c>
      <c r="N1868" s="1">
        <v>-14.15251180557147</v>
      </c>
      <c r="O1868" s="1">
        <v>7.1390794922547063E-7</v>
      </c>
    </row>
    <row r="1869" spans="1:15" x14ac:dyDescent="0.25">
      <c r="A1869">
        <v>3663.61</v>
      </c>
      <c r="B1869" s="1">
        <v>0.1</v>
      </c>
      <c r="C1869" s="1">
        <v>5.9725976907682954</v>
      </c>
      <c r="D1869" s="1">
        <v>548.30000000000007</v>
      </c>
      <c r="E1869" s="1">
        <v>898.17003434808919</v>
      </c>
      <c r="F1869" s="1">
        <v>394.84555047441592</v>
      </c>
      <c r="G1869" s="1">
        <v>3771.6643144943341</v>
      </c>
      <c r="H1869" s="1">
        <v>2.8159999999999998E-2</v>
      </c>
      <c r="I1869" s="1">
        <v>343.34395693427479</v>
      </c>
      <c r="J1869" s="1">
        <v>44.908501717404462</v>
      </c>
      <c r="K1869" s="1">
        <v>8.9513477603905905E-2</v>
      </c>
      <c r="L1869" s="1">
        <v>94.732786062398588</v>
      </c>
      <c r="M1869" s="1">
        <v>597.25976907684526</v>
      </c>
      <c r="N1869" s="1">
        <v>-14.155621805571469</v>
      </c>
      <c r="O1869" s="1">
        <v>7.1169114442161272E-7</v>
      </c>
    </row>
    <row r="1870" spans="1:15" x14ac:dyDescent="0.25">
      <c r="A1870">
        <v>3669.6</v>
      </c>
      <c r="B1870" s="1">
        <v>0.1</v>
      </c>
      <c r="C1870" s="1">
        <v>5.9894920882061022</v>
      </c>
      <c r="D1870" s="1">
        <v>548.4</v>
      </c>
      <c r="E1870" s="1">
        <v>901.9085941849969</v>
      </c>
      <c r="F1870" s="1">
        <v>396.44814259517881</v>
      </c>
      <c r="G1870" s="1">
        <v>3780.6834004070283</v>
      </c>
      <c r="H1870" s="1">
        <v>2.8159999999999998E-2</v>
      </c>
      <c r="I1870" s="1">
        <v>344.73751530015551</v>
      </c>
      <c r="J1870" s="1">
        <v>45.095429709249849</v>
      </c>
      <c r="K1870" s="1">
        <v>8.950074656034554E-2</v>
      </c>
      <c r="L1870" s="1">
        <v>94.746896027462896</v>
      </c>
      <c r="M1870" s="1">
        <v>598.94920882061342</v>
      </c>
      <c r="N1870" s="1">
        <v>-14.158731805571472</v>
      </c>
      <c r="O1870" s="1">
        <v>7.094812231712183E-7</v>
      </c>
    </row>
    <row r="1871" spans="1:15" x14ac:dyDescent="0.25">
      <c r="A1871">
        <v>3675.61</v>
      </c>
      <c r="B1871" s="1">
        <v>0.1</v>
      </c>
      <c r="C1871" s="1">
        <v>6.0064718304756779</v>
      </c>
      <c r="D1871" s="1">
        <v>548.5</v>
      </c>
      <c r="E1871" s="1">
        <v>905.67178707443577</v>
      </c>
      <c r="F1871" s="1">
        <v>398.06101284280783</v>
      </c>
      <c r="G1871" s="1">
        <v>3789.7401182481271</v>
      </c>
      <c r="H1871" s="1">
        <v>2.8159999999999998E-2</v>
      </c>
      <c r="I1871" s="1">
        <v>346.14001116765911</v>
      </c>
      <c r="J1871" s="1">
        <v>45.283589353721794</v>
      </c>
      <c r="K1871" s="1">
        <v>8.948802336460146E-2</v>
      </c>
      <c r="L1871" s="1">
        <v>94.761001305706642</v>
      </c>
      <c r="M1871" s="1">
        <v>600.64718304756752</v>
      </c>
      <c r="N1871" s="1">
        <v>-14.161841805571472</v>
      </c>
      <c r="O1871" s="1">
        <v>7.0727816409969596E-7</v>
      </c>
    </row>
    <row r="1872" spans="1:15" x14ac:dyDescent="0.25">
      <c r="A1872">
        <v>3681.63</v>
      </c>
      <c r="B1872" s="1">
        <v>0.1</v>
      </c>
      <c r="C1872" s="1">
        <v>6.0235375874637356</v>
      </c>
      <c r="D1872" s="1">
        <v>548.6</v>
      </c>
      <c r="E1872" s="1">
        <v>909.4598411665711</v>
      </c>
      <c r="F1872" s="1">
        <v>399.68425385936388</v>
      </c>
      <c r="G1872" s="1">
        <v>3798.8347166296439</v>
      </c>
      <c r="H1872" s="1">
        <v>2.8159999999999998E-2</v>
      </c>
      <c r="I1872" s="1">
        <v>347.55152509509912</v>
      </c>
      <c r="J1872" s="1">
        <v>45.472992058328558</v>
      </c>
      <c r="K1872" s="1">
        <v>8.9475307993408748E-2</v>
      </c>
      <c r="L1872" s="1">
        <v>94.775101917222031</v>
      </c>
      <c r="M1872" s="1">
        <v>602.35375874635793</v>
      </c>
      <c r="N1872" s="1">
        <v>-14.164951805571471</v>
      </c>
      <c r="O1872" s="1">
        <v>7.0508194589881861E-7</v>
      </c>
    </row>
    <row r="1873" spans="1:15" x14ac:dyDescent="0.25">
      <c r="A1873">
        <v>3687.67</v>
      </c>
      <c r="B1873" s="1">
        <v>0.1</v>
      </c>
      <c r="C1873" s="1">
        <v>6.0406900362822356</v>
      </c>
      <c r="D1873" s="1">
        <v>548.70000000000005</v>
      </c>
      <c r="E1873" s="1">
        <v>913.2729873573719</v>
      </c>
      <c r="F1873" s="1">
        <v>401.31795937253418</v>
      </c>
      <c r="G1873" s="1">
        <v>3807.9674464725567</v>
      </c>
      <c r="H1873" s="1">
        <v>2.8159999999999998E-2</v>
      </c>
      <c r="I1873" s="1">
        <v>348.9721385848124</v>
      </c>
      <c r="J1873" s="1">
        <v>45.663649367868601</v>
      </c>
      <c r="K1873" s="1">
        <v>8.9462600423401595E-2</v>
      </c>
      <c r="L1873" s="1">
        <v>94.789197882241837</v>
      </c>
      <c r="M1873" s="1">
        <v>604.06900362822853</v>
      </c>
      <c r="N1873" s="1">
        <v>-14.168061805571471</v>
      </c>
      <c r="O1873" s="1">
        <v>7.0289254732652669E-7</v>
      </c>
    </row>
    <row r="1874" spans="1:15" x14ac:dyDescent="0.25">
      <c r="A1874">
        <v>3693.73</v>
      </c>
      <c r="B1874" s="1">
        <v>0.1</v>
      </c>
      <c r="C1874" s="1">
        <v>6.0579298613694625</v>
      </c>
      <c r="D1874" s="1">
        <v>548.80000000000007</v>
      </c>
      <c r="E1874" s="1">
        <v>917.11145933270905</v>
      </c>
      <c r="F1874" s="1">
        <v>402.96222421142153</v>
      </c>
      <c r="G1874" s="1">
        <v>3817.1385610347006</v>
      </c>
      <c r="H1874" s="1">
        <v>2.8159999999999998E-2</v>
      </c>
      <c r="I1874" s="1">
        <v>350.40193409688828</v>
      </c>
      <c r="J1874" s="1">
        <v>45.855572966635457</v>
      </c>
      <c r="K1874" s="1">
        <v>8.9449900631109247E-2</v>
      </c>
      <c r="L1874" s="1">
        <v>94.803289221143942</v>
      </c>
      <c r="M1874" s="1">
        <v>605.79298613693027</v>
      </c>
      <c r="N1874" s="1">
        <v>-14.17117180557147</v>
      </c>
      <c r="O1874" s="1">
        <v>7.0070994720672146E-7</v>
      </c>
    </row>
    <row r="1875" spans="1:15" x14ac:dyDescent="0.25">
      <c r="A1875">
        <v>3699.8</v>
      </c>
      <c r="B1875" s="1">
        <v>0.1</v>
      </c>
      <c r="C1875" s="1">
        <v>6.0752577545891473</v>
      </c>
      <c r="D1875" s="1">
        <v>548.9</v>
      </c>
      <c r="E1875" s="1">
        <v>920.97549360725668</v>
      </c>
      <c r="F1875" s="1">
        <v>404.61714432254007</v>
      </c>
      <c r="G1875" s="1">
        <v>3826.3483159390571</v>
      </c>
      <c r="H1875" s="1">
        <v>2.8159999999999998E-2</v>
      </c>
      <c r="I1875" s="1">
        <v>351.84099506307842</v>
      </c>
      <c r="J1875" s="1">
        <v>46.04877468036284</v>
      </c>
      <c r="K1875" s="1">
        <v>8.9437208592957007E-2</v>
      </c>
      <c r="L1875" s="1">
        <v>94.81737595445027</v>
      </c>
      <c r="M1875" s="1">
        <v>607.52577545890745</v>
      </c>
      <c r="N1875" s="1">
        <v>-14.17428180557147</v>
      </c>
      <c r="O1875" s="1">
        <v>6.9853412442905922E-7</v>
      </c>
    </row>
    <row r="1876" spans="1:15" x14ac:dyDescent="0.25">
      <c r="A1876">
        <v>3705.9</v>
      </c>
      <c r="B1876" s="1">
        <v>0.1</v>
      </c>
      <c r="C1876" s="1">
        <v>6.0926744153348782</v>
      </c>
      <c r="D1876" s="1">
        <v>549</v>
      </c>
      <c r="E1876" s="1">
        <v>924.86532956845838</v>
      </c>
      <c r="F1876" s="1">
        <v>406.28281678614104</v>
      </c>
      <c r="G1876" s="1">
        <v>3835.5969692024828</v>
      </c>
      <c r="H1876" s="1">
        <v>2.8159999999999998E-2</v>
      </c>
      <c r="I1876" s="1">
        <v>353.28940590099228</v>
      </c>
      <c r="J1876" s="1">
        <v>46.243266478422925</v>
      </c>
      <c r="K1876" s="1">
        <v>8.9424524285264054E-2</v>
      </c>
      <c r="L1876" s="1">
        <v>94.8314581028297</v>
      </c>
      <c r="M1876" s="1">
        <v>609.26744153348409</v>
      </c>
      <c r="N1876" s="1">
        <v>-14.177391805571469</v>
      </c>
      <c r="O1876" s="1">
        <v>6.9636505794874741E-7</v>
      </c>
    </row>
    <row r="1877" spans="1:15" x14ac:dyDescent="0.25">
      <c r="A1877">
        <v>3712.01</v>
      </c>
      <c r="B1877" s="1">
        <v>0.1</v>
      </c>
      <c r="C1877" s="1">
        <v>6.1101805506340723</v>
      </c>
      <c r="D1877" s="1">
        <v>549.1</v>
      </c>
      <c r="E1877" s="1">
        <v>928.78120951915832</v>
      </c>
      <c r="F1877" s="1">
        <v>407.95933983280014</v>
      </c>
      <c r="G1877" s="1">
        <v>3844.8847812648605</v>
      </c>
      <c r="H1877" s="1">
        <v>2.8159999999999998E-2</v>
      </c>
      <c r="I1877" s="1">
        <v>354.74725202852198</v>
      </c>
      <c r="J1877" s="1">
        <v>46.439060475957916</v>
      </c>
      <c r="K1877" s="1">
        <v>8.9411847684242193E-2</v>
      </c>
      <c r="L1877" s="1">
        <v>94.845535687099215</v>
      </c>
      <c r="M1877" s="1">
        <v>611.01805506341407</v>
      </c>
      <c r="N1877" s="1">
        <v>-14.180501805571469</v>
      </c>
      <c r="O1877" s="1">
        <v>6.9420272678634134E-7</v>
      </c>
    </row>
    <row r="1878" spans="1:15" x14ac:dyDescent="0.25">
      <c r="A1878">
        <v>3718.14</v>
      </c>
      <c r="B1878" s="1">
        <v>0.1</v>
      </c>
      <c r="C1878" s="1">
        <v>6.1277768752537147</v>
      </c>
      <c r="D1878" s="1">
        <v>549.20000000000005</v>
      </c>
      <c r="E1878" s="1">
        <v>932.72337872103424</v>
      </c>
      <c r="F1878" s="1">
        <v>409.64681286027678</v>
      </c>
      <c r="G1878" s="1">
        <v>3854.2120150186925</v>
      </c>
      <c r="H1878" s="1">
        <v>2.8159999999999998E-2</v>
      </c>
      <c r="I1878" s="1">
        <v>356.21461987850159</v>
      </c>
      <c r="J1878" s="1">
        <v>46.636168936051718</v>
      </c>
      <c r="K1878" s="1">
        <v>8.9399178765995277E-2</v>
      </c>
      <c r="L1878" s="1">
        <v>94.85960872822497</v>
      </c>
      <c r="M1878" s="1">
        <v>612.77768752538577</v>
      </c>
      <c r="N1878" s="1">
        <v>-14.183611805571472</v>
      </c>
      <c r="O1878" s="1">
        <v>6.9204711002753853E-7</v>
      </c>
    </row>
    <row r="1879" spans="1:15" x14ac:dyDescent="0.25">
      <c r="A1879">
        <v>3724.28</v>
      </c>
      <c r="B1879" s="1">
        <v>0.1</v>
      </c>
      <c r="C1879" s="1">
        <v>6.1454641118098605</v>
      </c>
      <c r="D1879" s="1">
        <v>549.30000000000007</v>
      </c>
      <c r="E1879" s="1">
        <v>936.69208544056028</v>
      </c>
      <c r="F1879" s="1">
        <v>411.34533645071093</v>
      </c>
      <c r="G1879" s="1">
        <v>3863.5789358391426</v>
      </c>
      <c r="H1879" s="1">
        <v>2.8159999999999998E-2</v>
      </c>
      <c r="I1879" s="1">
        <v>357.69159691366173</v>
      </c>
      <c r="J1879" s="1">
        <v>46.834604272028017</v>
      </c>
      <c r="K1879" s="1">
        <v>8.9386517506516869E-2</v>
      </c>
      <c r="L1879" s="1">
        <v>94.873677247324991</v>
      </c>
      <c r="M1879" s="1">
        <v>614.54641118098152</v>
      </c>
      <c r="N1879" s="1">
        <v>-14.186721805571471</v>
      </c>
      <c r="O1879" s="1">
        <v>6.8989818682298604E-7</v>
      </c>
    </row>
    <row r="1880" spans="1:15" x14ac:dyDescent="0.25">
      <c r="A1880">
        <v>3730.44</v>
      </c>
      <c r="B1880" s="1">
        <v>0.1</v>
      </c>
      <c r="C1880" s="1">
        <v>6.1632429908763902</v>
      </c>
      <c r="D1880" s="1">
        <v>549.4</v>
      </c>
      <c r="E1880" s="1">
        <v>940.6875809931048</v>
      </c>
      <c r="F1880" s="1">
        <v>413.05501238808199</v>
      </c>
      <c r="G1880" s="1">
        <v>3872.9858116145306</v>
      </c>
      <c r="H1880" s="1">
        <v>2.8159999999999998E-2</v>
      </c>
      <c r="I1880" s="1">
        <v>359.17827164181045</v>
      </c>
      <c r="J1880" s="1">
        <v>47.034379049655243</v>
      </c>
      <c r="K1880" s="1">
        <v>8.9373863881690024E-2</v>
      </c>
      <c r="L1880" s="1">
        <v>94.887741265669533</v>
      </c>
      <c r="M1880" s="1">
        <v>616.32429908763697</v>
      </c>
      <c r="N1880" s="1">
        <v>-14.189831805571471</v>
      </c>
      <c r="O1880" s="1">
        <v>6.8775593638806459E-7</v>
      </c>
    </row>
    <row r="1881" spans="1:15" x14ac:dyDescent="0.25">
      <c r="A1881">
        <v>3736.63</v>
      </c>
      <c r="B1881" s="1">
        <v>0.1</v>
      </c>
      <c r="C1881" s="1">
        <v>6.1811142510977044</v>
      </c>
      <c r="D1881" s="1">
        <v>549.5</v>
      </c>
      <c r="E1881" s="1">
        <v>944.71011979062598</v>
      </c>
      <c r="F1881" s="1">
        <v>414.77594367600091</v>
      </c>
      <c r="G1881" s="1">
        <v>3882.4329127772926</v>
      </c>
      <c r="H1881" s="1">
        <v>2.8159999999999998E-2</v>
      </c>
      <c r="I1881" s="1">
        <v>360.67473363130517</v>
      </c>
      <c r="J1881" s="1">
        <v>47.235505989531305</v>
      </c>
      <c r="K1881" s="1">
        <v>8.9361217867284876E-2</v>
      </c>
      <c r="L1881" s="1">
        <v>94.901800804683901</v>
      </c>
      <c r="M1881" s="1">
        <v>618.11142510978243</v>
      </c>
      <c r="N1881" s="1">
        <v>-14.19294180557147</v>
      </c>
      <c r="O1881" s="1">
        <v>6.8562033800269709E-7</v>
      </c>
    </row>
    <row r="1882" spans="1:15" x14ac:dyDescent="0.25">
      <c r="A1882">
        <v>3742.82</v>
      </c>
      <c r="B1882" s="1">
        <v>0.1</v>
      </c>
      <c r="C1882" s="1">
        <v>6.1990786393016633</v>
      </c>
      <c r="D1882" s="1">
        <v>549.6</v>
      </c>
      <c r="E1882" s="1">
        <v>948.75995938736855</v>
      </c>
      <c r="F1882" s="1">
        <v>416.5082345557912</v>
      </c>
      <c r="G1882" s="1">
        <v>3891.92051233541</v>
      </c>
      <c r="H1882" s="1">
        <v>2.8159999999999998E-2</v>
      </c>
      <c r="I1882" s="1">
        <v>362.18107352677504</v>
      </c>
      <c r="J1882" s="1">
        <v>47.437997969368432</v>
      </c>
      <c r="K1882" s="1">
        <v>8.9348579438958672E-2</v>
      </c>
      <c r="L1882" s="1">
        <v>94.915855885948716</v>
      </c>
      <c r="M1882" s="1">
        <v>619.90786393016606</v>
      </c>
      <c r="N1882" s="1">
        <v>-14.19605180557147</v>
      </c>
      <c r="O1882" s="1">
        <v>6.8349137101114572E-7</v>
      </c>
    </row>
    <row r="1883" spans="1:15" x14ac:dyDescent="0.25">
      <c r="A1883">
        <v>3749.04</v>
      </c>
      <c r="B1883" s="1">
        <v>0.1</v>
      </c>
      <c r="C1883" s="1">
        <v>6.2171369106163459</v>
      </c>
      <c r="D1883" s="1">
        <v>549.70000000000005</v>
      </c>
      <c r="E1883" s="1">
        <v>952.83736052929055</v>
      </c>
      <c r="F1883" s="1">
        <v>418.25199052492155</v>
      </c>
      <c r="G1883" s="1">
        <v>3901.4488859043213</v>
      </c>
      <c r="H1883" s="1">
        <v>2.8159999999999998E-2</v>
      </c>
      <c r="I1883" s="1">
        <v>363.69738306514932</v>
      </c>
      <c r="J1883" s="1">
        <v>47.641868026464529</v>
      </c>
      <c r="K1883" s="1">
        <v>8.9335948572253202E-2</v>
      </c>
      <c r="L1883" s="1">
        <v>94.929906531202846</v>
      </c>
      <c r="M1883" s="1">
        <v>621.71369106163183</v>
      </c>
      <c r="N1883" s="1">
        <v>-14.199161805571469</v>
      </c>
      <c r="O1883" s="1">
        <v>6.8136901482181242E-7</v>
      </c>
    </row>
    <row r="1884" spans="1:15" x14ac:dyDescent="0.25">
      <c r="A1884">
        <v>3755.28</v>
      </c>
      <c r="B1884" s="1">
        <v>0.1</v>
      </c>
      <c r="C1884" s="1">
        <v>6.2352898285874359</v>
      </c>
      <c r="D1884" s="1">
        <v>549.80000000000007</v>
      </c>
      <c r="E1884" s="1">
        <v>956.94258720269158</v>
      </c>
      <c r="F1884" s="1">
        <v>420.00731835575436</v>
      </c>
      <c r="G1884" s="1">
        <v>3911.018311739329</v>
      </c>
      <c r="H1884" s="1">
        <v>2.8159999999999998E-2</v>
      </c>
      <c r="I1884" s="1">
        <v>365.2237550919603</v>
      </c>
      <c r="J1884" s="1">
        <v>47.847129360134581</v>
      </c>
      <c r="K1884" s="1">
        <v>8.9323325242593579E-2</v>
      </c>
      <c r="L1884" s="1">
        <v>94.943952762344921</v>
      </c>
      <c r="M1884" s="1">
        <v>623.52898285876108</v>
      </c>
      <c r="N1884" s="1">
        <v>-14.202271805571469</v>
      </c>
      <c r="O1884" s="1">
        <v>6.7925324890703901E-7</v>
      </c>
    </row>
    <row r="1885" spans="1:15" x14ac:dyDescent="0.25">
      <c r="A1885">
        <v>3761.53</v>
      </c>
      <c r="B1885" s="1">
        <v>0.1</v>
      </c>
      <c r="C1885" s="1">
        <v>6.2535381652966784</v>
      </c>
      <c r="D1885" s="1">
        <v>549.9</v>
      </c>
      <c r="E1885" s="1">
        <v>961.07590668257353</v>
      </c>
      <c r="F1885" s="1">
        <v>421.77432611458755</v>
      </c>
      <c r="G1885" s="1">
        <v>3920.6290707684848</v>
      </c>
      <c r="H1885" s="1">
        <v>2.8159999999999998E-2</v>
      </c>
      <c r="I1885" s="1">
        <v>366.76028357790227</v>
      </c>
      <c r="J1885" s="1">
        <v>48.053795334128679</v>
      </c>
      <c r="K1885" s="1">
        <v>8.9310709425288265E-2</v>
      </c>
      <c r="L1885" s="1">
        <v>94.957994601433512</v>
      </c>
      <c r="M1885" s="1">
        <v>625.35381652965043</v>
      </c>
      <c r="N1885" s="1">
        <v>-14.205381805571472</v>
      </c>
      <c r="O1885" s="1">
        <v>6.7714405280290737E-7</v>
      </c>
    </row>
    <row r="1886" spans="1:15" x14ac:dyDescent="0.25">
      <c r="A1886">
        <v>3767.8</v>
      </c>
      <c r="B1886" s="1">
        <v>0.1</v>
      </c>
      <c r="C1886" s="1">
        <v>6.271882701486331</v>
      </c>
      <c r="D1886" s="1">
        <v>550</v>
      </c>
      <c r="E1886" s="1">
        <v>965.23758958619862</v>
      </c>
      <c r="F1886" s="1">
        <v>423.55312318112101</v>
      </c>
      <c r="G1886" s="1">
        <v>3930.2814466260115</v>
      </c>
      <c r="H1886" s="1">
        <v>2.8159999999999998E-2</v>
      </c>
      <c r="I1886" s="1">
        <v>368.30706363575746</v>
      </c>
      <c r="J1886" s="1">
        <v>48.261879479309933</v>
      </c>
      <c r="K1886" s="1">
        <v>8.9298101095525204E-2</v>
      </c>
      <c r="L1886" s="1">
        <v>94.972032070691625</v>
      </c>
      <c r="M1886" s="1">
        <v>627.18827014864473</v>
      </c>
      <c r="N1886" s="1">
        <v>-14.208491805571471</v>
      </c>
      <c r="O1886" s="1">
        <v>6.7504140610905005E-7</v>
      </c>
    </row>
    <row r="1887" spans="1:15" x14ac:dyDescent="0.25">
      <c r="A1887">
        <v>3774.09</v>
      </c>
      <c r="B1887" s="1">
        <v>0.1</v>
      </c>
      <c r="C1887" s="1">
        <v>6.2903242266802524</v>
      </c>
      <c r="D1887" s="1">
        <v>550.1</v>
      </c>
      <c r="E1887" s="1">
        <v>969.42790992144978</v>
      </c>
      <c r="F1887" s="1">
        <v>425.34382026817843</v>
      </c>
      <c r="G1887" s="1">
        <v>3939.9757256862149</v>
      </c>
      <c r="H1887" s="1">
        <v>2.8159999999999998E-2</v>
      </c>
      <c r="I1887" s="1">
        <v>369.86419153754656</v>
      </c>
      <c r="J1887" s="1">
        <v>48.471395496072489</v>
      </c>
      <c r="K1887" s="1">
        <v>8.9285500228373171E-2</v>
      </c>
      <c r="L1887" s="1">
        <v>94.986065192505336</v>
      </c>
      <c r="M1887" s="1">
        <v>629.03242266802408</v>
      </c>
      <c r="N1887" s="1">
        <v>-14.211601805571471</v>
      </c>
      <c r="O1887" s="1">
        <v>6.7294528848843933E-7</v>
      </c>
    </row>
    <row r="1888" spans="1:15" x14ac:dyDescent="0.25">
      <c r="A1888">
        <v>3780.4</v>
      </c>
      <c r="B1888" s="1">
        <v>0.1</v>
      </c>
      <c r="C1888" s="1">
        <v>6.3088635393124077</v>
      </c>
      <c r="D1888" s="1">
        <v>550.20000000000005</v>
      </c>
      <c r="E1888" s="1">
        <v>973.64714514265313</v>
      </c>
      <c r="F1888" s="1">
        <v>427.14652944186213</v>
      </c>
      <c r="G1888" s="1">
        <v>3949.7121970979379</v>
      </c>
      <c r="H1888" s="1">
        <v>2.8159999999999998E-2</v>
      </c>
      <c r="I1888" s="1">
        <v>371.43176473205415</v>
      </c>
      <c r="J1888" s="1">
        <v>48.682357257132658</v>
      </c>
      <c r="K1888" s="1">
        <v>8.9272906798777765E-2</v>
      </c>
      <c r="L1888" s="1">
        <v>95.000093989428535</v>
      </c>
      <c r="M1888" s="1">
        <v>630.88635393123695</v>
      </c>
      <c r="N1888" s="1">
        <v>-14.21471180557147</v>
      </c>
      <c r="O1888" s="1">
        <v>6.7085567966719944E-7</v>
      </c>
    </row>
    <row r="1889" spans="1:15" x14ac:dyDescent="0.25">
      <c r="A1889">
        <v>3786.73</v>
      </c>
      <c r="B1889" s="1">
        <v>0.1</v>
      </c>
      <c r="C1889" s="1">
        <v>6.3275014468535451</v>
      </c>
      <c r="D1889" s="1">
        <v>550.30000000000007</v>
      </c>
      <c r="E1889" s="1">
        <v>977.89557620133746</v>
      </c>
      <c r="F1889" s="1">
        <v>428.96136414201715</v>
      </c>
      <c r="G1889" s="1">
        <v>3959.4911528195421</v>
      </c>
      <c r="H1889" s="1">
        <v>2.8159999999999998E-2</v>
      </c>
      <c r="I1889" s="1">
        <v>373.00988186262373</v>
      </c>
      <c r="J1889" s="1">
        <v>48.894778810066875</v>
      </c>
      <c r="K1889" s="1">
        <v>8.9260320781562139E-2</v>
      </c>
      <c r="L1889" s="1">
        <v>95.014118484182077</v>
      </c>
      <c r="M1889" s="1">
        <v>632.75014468536028</v>
      </c>
      <c r="N1889" s="1">
        <v>-14.21782180557147</v>
      </c>
      <c r="O1889" s="1">
        <v>6.6877255943440883E-7</v>
      </c>
    </row>
    <row r="1890" spans="1:15" x14ac:dyDescent="0.25">
      <c r="A1890">
        <v>3793.08</v>
      </c>
      <c r="B1890" s="1">
        <v>0.1</v>
      </c>
      <c r="C1890" s="1">
        <v>6.3462387659427515</v>
      </c>
      <c r="D1890" s="1">
        <v>550.4</v>
      </c>
      <c r="E1890" s="1">
        <v>982.17348760325513</v>
      </c>
      <c r="F1890" s="1">
        <v>430.78843920309799</v>
      </c>
      <c r="G1890" s="1">
        <v>3969.3128876544447</v>
      </c>
      <c r="H1890" s="1">
        <v>2.8159999999999998E-2</v>
      </c>
      <c r="I1890" s="1">
        <v>374.59864278530267</v>
      </c>
      <c r="J1890" s="1">
        <v>49.108674380162761</v>
      </c>
      <c r="K1890" s="1">
        <v>8.9247742151423726E-2</v>
      </c>
      <c r="L1890" s="1">
        <v>95.028138699657887</v>
      </c>
      <c r="M1890" s="1">
        <v>634.62387659428714</v>
      </c>
      <c r="N1890" s="1">
        <v>-14.220931805571469</v>
      </c>
      <c r="O1890" s="1">
        <v>6.6669590764190389E-7</v>
      </c>
    </row>
    <row r="1891" spans="1:15" x14ac:dyDescent="0.25">
      <c r="A1891">
        <v>3799.44</v>
      </c>
      <c r="B1891" s="1">
        <v>0.1</v>
      </c>
      <c r="C1891" s="1">
        <v>6.3650763225192746</v>
      </c>
      <c r="D1891" s="1">
        <v>550.5</v>
      </c>
      <c r="E1891" s="1">
        <v>986.48116746193887</v>
      </c>
      <c r="F1891" s="1">
        <v>432.62787087538078</v>
      </c>
      <c r="G1891" s="1">
        <v>3979.1776992871974</v>
      </c>
      <c r="H1891" s="1">
        <v>2.8159999999999998E-2</v>
      </c>
      <c r="I1891" s="1">
        <v>376.19814858728762</v>
      </c>
      <c r="J1891" s="1">
        <v>49.324058373096946</v>
      </c>
      <c r="K1891" s="1">
        <v>8.9235170882934284E-2</v>
      </c>
      <c r="L1891" s="1">
        <v>95.042154658918903</v>
      </c>
      <c r="M1891" s="1">
        <v>636.5076322519144</v>
      </c>
      <c r="N1891" s="1">
        <v>-14.224041805571467</v>
      </c>
      <c r="O1891" s="1">
        <v>6.6462570420408478E-7</v>
      </c>
    </row>
    <row r="1892" spans="1:15" x14ac:dyDescent="0.25">
      <c r="A1892">
        <v>3805.82</v>
      </c>
      <c r="B1892" s="1">
        <v>0.1</v>
      </c>
      <c r="C1892" s="1">
        <v>6.38401495195947</v>
      </c>
      <c r="D1892" s="1">
        <v>550.6</v>
      </c>
      <c r="E1892" s="1">
        <v>990.81890755705615</v>
      </c>
      <c r="F1892" s="1">
        <v>434.47977684661606</v>
      </c>
      <c r="G1892" s="1">
        <v>3989.0858883201504</v>
      </c>
      <c r="H1892" s="1">
        <v>2.8159999999999998E-2</v>
      </c>
      <c r="I1892" s="1">
        <v>377.80850160575318</v>
      </c>
      <c r="J1892" s="1">
        <v>49.540945377852807</v>
      </c>
      <c r="K1892" s="1">
        <v>8.9222606950537048E-2</v>
      </c>
      <c r="L1892" s="1">
        <v>95.056166385202516</v>
      </c>
      <c r="M1892" s="1">
        <v>638.40149519596707</v>
      </c>
      <c r="N1892" s="1">
        <v>-14.227151805571472</v>
      </c>
      <c r="O1892" s="1">
        <v>6.6256192909771794E-7</v>
      </c>
    </row>
    <row r="1893" spans="1:15" x14ac:dyDescent="0.25">
      <c r="A1893">
        <v>3812.23</v>
      </c>
      <c r="B1893" s="1">
        <v>0.1</v>
      </c>
      <c r="C1893" s="1">
        <v>6.4030554992124369</v>
      </c>
      <c r="D1893" s="1">
        <v>550.70000000000005</v>
      </c>
      <c r="E1893" s="1">
        <v>995.18700339076281</v>
      </c>
      <c r="F1893" s="1">
        <v>436.34427626401384</v>
      </c>
      <c r="G1893" s="1">
        <v>3999.0377583106733</v>
      </c>
      <c r="H1893" s="1">
        <v>2.8159999999999998E-2</v>
      </c>
      <c r="I1893" s="1">
        <v>379.42980544696866</v>
      </c>
      <c r="J1893" s="1">
        <v>49.759350169538145</v>
      </c>
      <c r="K1893" s="1">
        <v>8.9210050328546397E-2</v>
      </c>
      <c r="L1893" s="1">
        <v>95.070173901921152</v>
      </c>
      <c r="M1893" s="1">
        <v>640.30554992123143</v>
      </c>
      <c r="N1893" s="1">
        <v>-14.230261805571471</v>
      </c>
      <c r="O1893" s="1">
        <v>6.6050456236175316E-7</v>
      </c>
    </row>
    <row r="1894" spans="1:15" x14ac:dyDescent="0.25">
      <c r="A1894">
        <v>3818.65</v>
      </c>
      <c r="B1894" s="1">
        <v>0.1</v>
      </c>
      <c r="C1894" s="1">
        <v>6.4221988189416148</v>
      </c>
      <c r="D1894" s="1">
        <v>550.80000000000007</v>
      </c>
      <c r="E1894" s="1">
        <v>999.58575424792252</v>
      </c>
      <c r="F1894" s="1">
        <v>438.22148975668046</v>
      </c>
      <c r="G1894" s="1">
        <v>4009.0336158089849</v>
      </c>
      <c r="H1894" s="1">
        <v>2.8159999999999998E-2</v>
      </c>
      <c r="I1894" s="1">
        <v>381.06216500580916</v>
      </c>
      <c r="J1894" s="1">
        <v>49.979287712396129</v>
      </c>
      <c r="K1894" s="1">
        <v>8.9197500991144943E-2</v>
      </c>
      <c r="L1894" s="1">
        <v>95.084177232665652</v>
      </c>
      <c r="M1894" s="1">
        <v>642.21988189415242</v>
      </c>
      <c r="N1894" s="1">
        <v>-14.233371805571471</v>
      </c>
      <c r="O1894" s="1">
        <v>6.5845358409711529E-7</v>
      </c>
    </row>
    <row r="1895" spans="1:15" x14ac:dyDescent="0.25">
      <c r="A1895">
        <v>3825.09</v>
      </c>
      <c r="B1895" s="1">
        <v>0.1</v>
      </c>
      <c r="C1895" s="1">
        <v>6.4414457756662404</v>
      </c>
      <c r="D1895" s="1">
        <v>550.9</v>
      </c>
      <c r="E1895" s="1">
        <v>1004.0154632544595</v>
      </c>
      <c r="F1895" s="1">
        <v>440.11153945843267</v>
      </c>
      <c r="G1895" s="1">
        <v>4019.0737703965633</v>
      </c>
      <c r="H1895" s="1">
        <v>2.8159999999999998E-2</v>
      </c>
      <c r="I1895" s="1">
        <v>382.70568648559373</v>
      </c>
      <c r="J1895" s="1">
        <v>50.200773162722982</v>
      </c>
      <c r="K1895" s="1">
        <v>8.9184958912383427E-2</v>
      </c>
      <c r="L1895" s="1">
        <v>95.098176401205649</v>
      </c>
      <c r="M1895" s="1">
        <v>644.1445775666125</v>
      </c>
      <c r="N1895" s="1">
        <v>-14.23648180557147</v>
      </c>
      <c r="O1895" s="1">
        <v>6.5640897446652142E-7</v>
      </c>
    </row>
    <row r="1896" spans="1:15" x14ac:dyDescent="0.25">
      <c r="A1896">
        <v>3831.55</v>
      </c>
      <c r="B1896" s="1">
        <v>0.1</v>
      </c>
      <c r="C1896" s="1">
        <v>6.4607972439072032</v>
      </c>
      <c r="D1896" s="1">
        <v>551</v>
      </c>
      <c r="E1896" s="1">
        <v>1008.4764374395761</v>
      </c>
      <c r="F1896" s="1">
        <v>442.01454903105645</v>
      </c>
      <c r="G1896" s="1">
        <v>4029.1585347251767</v>
      </c>
      <c r="H1896" s="1">
        <v>2.8159999999999998E-2</v>
      </c>
      <c r="I1896" s="1">
        <v>384.3604774183101</v>
      </c>
      <c r="J1896" s="1">
        <v>50.423821871978809</v>
      </c>
      <c r="K1896" s="1">
        <v>8.9172424066178022E-2</v>
      </c>
      <c r="L1896" s="1">
        <v>95.112171431492683</v>
      </c>
      <c r="M1896" s="1">
        <v>646.07972439071091</v>
      </c>
      <c r="N1896" s="1">
        <v>-14.23959180557147</v>
      </c>
      <c r="O1896" s="1">
        <v>6.5437071369428654E-7</v>
      </c>
    </row>
    <row r="1897" spans="1:15" x14ac:dyDescent="0.25">
      <c r="A1897">
        <v>3838.03</v>
      </c>
      <c r="B1897" s="1">
        <v>0.1</v>
      </c>
      <c r="C1897" s="1">
        <v>6.4802541083339458</v>
      </c>
      <c r="D1897" s="1">
        <v>551.1</v>
      </c>
      <c r="E1897" s="1">
        <v>1012.9689877977022</v>
      </c>
      <c r="F1897" s="1">
        <v>443.93064368797042</v>
      </c>
      <c r="G1897" s="1">
        <v>4039.2882245565347</v>
      </c>
      <c r="H1897" s="1">
        <v>2.8159999999999998E-2</v>
      </c>
      <c r="I1897" s="1">
        <v>386.02664668519179</v>
      </c>
      <c r="J1897" s="1">
        <v>50.648449389885116</v>
      </c>
      <c r="K1897" s="1">
        <v>8.9159896426309088E-2</v>
      </c>
      <c r="L1897" s="1">
        <v>95.12616234766196</v>
      </c>
      <c r="M1897" s="1">
        <v>648.02541083340657</v>
      </c>
      <c r="N1897" s="1">
        <v>-14.242701805571468</v>
      </c>
      <c r="O1897" s="1">
        <v>6.5233878206613311E-7</v>
      </c>
    </row>
    <row r="1898" spans="1:15" x14ac:dyDescent="0.25">
      <c r="A1898">
        <v>3844.53</v>
      </c>
      <c r="B1898" s="1">
        <v>0.1</v>
      </c>
      <c r="C1898" s="1">
        <v>6.4998172639162899</v>
      </c>
      <c r="D1898" s="1">
        <v>551.20000000000005</v>
      </c>
      <c r="E1898" s="1">
        <v>1017.4934293511128</v>
      </c>
      <c r="F1898" s="1">
        <v>445.8599502183738</v>
      </c>
      <c r="G1898" s="1">
        <v>4049.4631588025786</v>
      </c>
      <c r="H1898" s="1">
        <v>2.8159999999999998E-2</v>
      </c>
      <c r="I1898" s="1">
        <v>387.70430453771644</v>
      </c>
      <c r="J1898" s="1">
        <v>50.874671467555643</v>
      </c>
      <c r="K1898" s="1">
        <v>8.9147375966419917E-2</v>
      </c>
      <c r="L1898" s="1">
        <v>95.140149174033752</v>
      </c>
      <c r="M1898" s="1">
        <v>649.98172639161567</v>
      </c>
      <c r="N1898" s="1">
        <v>-14.245811805571469</v>
      </c>
      <c r="O1898" s="1">
        <v>6.5031315992899898E-7</v>
      </c>
    </row>
    <row r="1899" spans="1:15" x14ac:dyDescent="0.25">
      <c r="A1899">
        <v>3851.05</v>
      </c>
      <c r="B1899" s="1">
        <v>0.1</v>
      </c>
      <c r="C1899" s="1">
        <v>6.5194876160754163</v>
      </c>
      <c r="D1899" s="1">
        <v>551.30000000000007</v>
      </c>
      <c r="E1899" s="1">
        <v>1022.0500812162747</v>
      </c>
      <c r="F1899" s="1">
        <v>447.80259701177653</v>
      </c>
      <c r="G1899" s="1">
        <v>4059.6836595664026</v>
      </c>
      <c r="H1899" s="1">
        <v>2.8159999999999998E-2</v>
      </c>
      <c r="I1899" s="1">
        <v>389.39356261893619</v>
      </c>
      <c r="J1899" s="1">
        <v>51.102504060813743</v>
      </c>
      <c r="K1899" s="1">
        <v>8.9134862660013969E-2</v>
      </c>
      <c r="L1899" s="1">
        <v>95.15413193511688</v>
      </c>
      <c r="M1899" s="1">
        <v>651.94876160753665</v>
      </c>
      <c r="N1899" s="1">
        <v>-14.248921805571472</v>
      </c>
      <c r="O1899" s="1">
        <v>6.4829382769084648E-7</v>
      </c>
    </row>
    <row r="1900" spans="1:15" x14ac:dyDescent="0.25">
      <c r="A1900">
        <v>3857.59</v>
      </c>
      <c r="B1900" s="1">
        <v>0.1</v>
      </c>
      <c r="C1900" s="1">
        <v>6.5392660808419159</v>
      </c>
      <c r="D1900" s="1">
        <v>551.4</v>
      </c>
      <c r="E1900" s="1">
        <v>1026.6392666677948</v>
      </c>
      <c r="F1900" s="1">
        <v>449.75871408305773</v>
      </c>
      <c r="G1900" s="1">
        <v>4069.9500521838545</v>
      </c>
      <c r="H1900" s="1">
        <v>2.8159999999999998E-2</v>
      </c>
      <c r="I1900" s="1">
        <v>391.09453398526773</v>
      </c>
      <c r="J1900" s="1">
        <v>51.331963333389744</v>
      </c>
      <c r="K1900" s="1">
        <v>8.9122356480454426E-2</v>
      </c>
      <c r="L1900" s="1">
        <v>95.168110655609297</v>
      </c>
      <c r="M1900" s="1">
        <v>653.9266080842026</v>
      </c>
      <c r="N1900" s="1">
        <v>-14.252031805571471</v>
      </c>
      <c r="O1900" s="1">
        <v>6.4628076582048107E-7</v>
      </c>
    </row>
    <row r="1901" spans="1:15" x14ac:dyDescent="0.25">
      <c r="A1901">
        <v>3864.15</v>
      </c>
      <c r="B1901" s="1">
        <v>0.1</v>
      </c>
      <c r="C1901" s="1">
        <v>6.559153585012238</v>
      </c>
      <c r="D1901" s="1">
        <v>551.5</v>
      </c>
      <c r="E1901" s="1">
        <v>1031.2613132064996</v>
      </c>
      <c r="F1901" s="1">
        <v>451.72843309792194</v>
      </c>
      <c r="G1901" s="1">
        <v>4080.2626652657859</v>
      </c>
      <c r="H1901" s="1">
        <v>2.8159999999999998E-2</v>
      </c>
      <c r="I1901" s="1">
        <v>392.80733312862782</v>
      </c>
      <c r="J1901" s="1">
        <v>51.56306566032498</v>
      </c>
      <c r="K1901" s="1">
        <v>8.9109857400961875E-2</v>
      </c>
      <c r="L1901" s="1">
        <v>95.182085360400947</v>
      </c>
      <c r="M1901" s="1">
        <v>655.91535850121545</v>
      </c>
      <c r="N1901" s="1">
        <v>-14.255141805571471</v>
      </c>
      <c r="O1901" s="1">
        <v>6.4427395484734898E-7</v>
      </c>
    </row>
    <row r="1902" spans="1:15" x14ac:dyDescent="0.25">
      <c r="A1902">
        <v>3870.73</v>
      </c>
      <c r="B1902" s="1">
        <v>0.1</v>
      </c>
      <c r="C1902" s="1">
        <v>6.5791510663122574</v>
      </c>
      <c r="D1902" s="1">
        <v>551.6</v>
      </c>
      <c r="E1902" s="1">
        <v>1035.9165526280467</v>
      </c>
      <c r="F1902" s="1">
        <v>453.71188739889766</v>
      </c>
      <c r="G1902" s="1">
        <v>4090.6218307410059</v>
      </c>
      <c r="H1902" s="1">
        <v>2.8159999999999998E-2</v>
      </c>
      <c r="I1902" s="1">
        <v>394.53207599904152</v>
      </c>
      <c r="J1902" s="1">
        <v>51.795827631402339</v>
      </c>
      <c r="K1902" s="1">
        <v>8.9097365394612368E-2</v>
      </c>
      <c r="L1902" s="1">
        <v>95.196056074576134</v>
      </c>
      <c r="M1902" s="1">
        <v>657.91510663120789</v>
      </c>
      <c r="N1902" s="1">
        <v>-14.25825180557147</v>
      </c>
      <c r="O1902" s="1">
        <v>6.4227337536135829E-7</v>
      </c>
    </row>
    <row r="1903" spans="1:15" x14ac:dyDescent="0.25">
      <c r="A1903">
        <v>3877.33</v>
      </c>
      <c r="B1903" s="1">
        <v>0.1</v>
      </c>
      <c r="C1903" s="1">
        <v>6.5992594735606094</v>
      </c>
      <c r="D1903" s="1">
        <v>551.70000000000005</v>
      </c>
      <c r="E1903" s="1">
        <v>1040.6053210920695</v>
      </c>
      <c r="F1903" s="1">
        <v>455.70921203178551</v>
      </c>
      <c r="G1903" s="1">
        <v>4101.0278838999193</v>
      </c>
      <c r="H1903" s="1">
        <v>2.8159999999999998E-2</v>
      </c>
      <c r="I1903" s="1">
        <v>396.26888002763968</v>
      </c>
      <c r="J1903" s="1">
        <v>52.03026605460348</v>
      </c>
      <c r="K1903" s="1">
        <v>8.9084880434336058E-2</v>
      </c>
      <c r="L1903" s="1">
        <v>95.21002282341523</v>
      </c>
      <c r="M1903" s="1">
        <v>659.92594735607781</v>
      </c>
      <c r="N1903" s="1">
        <v>-14.26136180557147</v>
      </c>
      <c r="O1903" s="1">
        <v>6.4027900801268836E-7</v>
      </c>
    </row>
    <row r="1904" spans="1:15" x14ac:dyDescent="0.25">
      <c r="A1904">
        <v>3883.95</v>
      </c>
      <c r="B1904" s="1">
        <v>0.1</v>
      </c>
      <c r="C1904" s="1">
        <v>6.6194797668364327</v>
      </c>
      <c r="D1904" s="1">
        <v>551.80000000000007</v>
      </c>
      <c r="E1904" s="1">
        <v>1045.3279591934538</v>
      </c>
      <c r="F1904" s="1">
        <v>457.72054377261384</v>
      </c>
      <c r="G1904" s="1">
        <v>4111.481163438878</v>
      </c>
      <c r="H1904" s="1">
        <v>2.8159999999999998E-2</v>
      </c>
      <c r="I1904" s="1">
        <v>398.01786415009911</v>
      </c>
      <c r="J1904" s="1">
        <v>52.266397959672695</v>
      </c>
      <c r="K1904" s="1">
        <v>8.907240249291537E-2</v>
      </c>
      <c r="L1904" s="1">
        <v>95.22398563239706</v>
      </c>
      <c r="M1904" s="1">
        <v>661.94797668363208</v>
      </c>
      <c r="N1904" s="1">
        <v>-14.264471805571469</v>
      </c>
      <c r="O1904" s="1">
        <v>6.3829083351160344E-7</v>
      </c>
    </row>
    <row r="1905" spans="1:15" x14ac:dyDescent="0.25">
      <c r="A1905">
        <v>3890.59</v>
      </c>
      <c r="B1905" s="1">
        <v>0.1</v>
      </c>
      <c r="C1905" s="1">
        <v>6.6398129176504721</v>
      </c>
      <c r="D1905" s="1">
        <v>551.9</v>
      </c>
      <c r="E1905" s="1">
        <v>1050.084812035479</v>
      </c>
      <c r="F1905" s="1">
        <v>459.74602115511976</v>
      </c>
      <c r="G1905" s="1">
        <v>4121.9820115052689</v>
      </c>
      <c r="H1905" s="1">
        <v>2.8159999999999998E-2</v>
      </c>
      <c r="I1905" s="1">
        <v>399.77914883053899</v>
      </c>
      <c r="J1905" s="1">
        <v>52.504240601773951</v>
      </c>
      <c r="K1905" s="1">
        <v>8.9059931542982612E-2</v>
      </c>
      <c r="L1905" s="1">
        <v>95.237944527201648</v>
      </c>
      <c r="M1905" s="1">
        <v>663.98129176504881</v>
      </c>
      <c r="N1905" s="1">
        <v>-14.267581805571467</v>
      </c>
      <c r="O1905" s="1">
        <v>6.3630883262826531E-7</v>
      </c>
    </row>
    <row r="1906" spans="1:15" x14ac:dyDescent="0.25">
      <c r="A1906">
        <v>3897.25</v>
      </c>
      <c r="B1906" s="1">
        <v>0.1</v>
      </c>
      <c r="C1906" s="1">
        <v>6.6602599091182659</v>
      </c>
      <c r="D1906" s="1">
        <v>552</v>
      </c>
      <c r="E1906" s="1">
        <v>1054.8762293024261</v>
      </c>
      <c r="F1906" s="1">
        <v>461.7857844987326</v>
      </c>
      <c r="G1906" s="1">
        <v>4132.5307737433186</v>
      </c>
      <c r="H1906" s="1">
        <v>2.8159999999999998E-2</v>
      </c>
      <c r="I1906" s="1">
        <v>401.5528560858545</v>
      </c>
      <c r="J1906" s="1">
        <v>52.743811465121304</v>
      </c>
      <c r="K1906" s="1">
        <v>8.9047467557019033E-2</v>
      </c>
      <c r="L1906" s="1">
        <v>95.25189953371158</v>
      </c>
      <c r="M1906" s="1">
        <v>666.02599091183947</v>
      </c>
      <c r="N1906" s="1">
        <v>-14.270691805571472</v>
      </c>
      <c r="O1906" s="1">
        <v>6.3433298619254533E-7</v>
      </c>
    </row>
    <row r="1907" spans="1:15" x14ac:dyDescent="0.25">
      <c r="A1907">
        <v>3903.93</v>
      </c>
      <c r="B1907" s="1">
        <v>0.1</v>
      </c>
      <c r="C1907" s="1">
        <v>6.6808217361370295</v>
      </c>
      <c r="D1907" s="1">
        <v>552.1</v>
      </c>
      <c r="E1907" s="1">
        <v>1059.7025653359183</v>
      </c>
      <c r="F1907" s="1">
        <v>463.83997593708926</v>
      </c>
      <c r="G1907" s="1">
        <v>4143.1277993406702</v>
      </c>
      <c r="H1907" s="1">
        <v>2.8159999999999998E-2</v>
      </c>
      <c r="I1907" s="1">
        <v>403.33910951051251</v>
      </c>
      <c r="J1907" s="1">
        <v>52.985128266795918</v>
      </c>
      <c r="K1907" s="1">
        <v>8.9035010507352408E-2</v>
      </c>
      <c r="L1907" s="1">
        <v>95.265850678014957</v>
      </c>
      <c r="M1907" s="1">
        <v>668.08217361372044</v>
      </c>
      <c r="N1907" s="1">
        <v>-14.273801805571471</v>
      </c>
      <c r="O1907" s="1">
        <v>6.3236327509384855E-7</v>
      </c>
    </row>
    <row r="1908" spans="1:15" x14ac:dyDescent="0.25">
      <c r="A1908">
        <v>3910.63</v>
      </c>
      <c r="B1908" s="1">
        <v>0.1</v>
      </c>
      <c r="C1908" s="1">
        <v>6.7014994055671364</v>
      </c>
      <c r="D1908" s="1">
        <v>552.20000000000005</v>
      </c>
      <c r="E1908" s="1">
        <v>1064.564179211791</v>
      </c>
      <c r="F1908" s="1">
        <v>465.90873944713138</v>
      </c>
      <c r="G1908" s="1">
        <v>4153.7734410757275</v>
      </c>
      <c r="H1908" s="1">
        <v>2.8159999999999998E-2</v>
      </c>
      <c r="I1908" s="1">
        <v>405.13803430185351</v>
      </c>
      <c r="J1908" s="1">
        <v>53.228208960589555</v>
      </c>
      <c r="K1908" s="1">
        <v>8.9022560366154843E-2</v>
      </c>
      <c r="L1908" s="1">
        <v>95.279797986407999</v>
      </c>
      <c r="M1908" s="1">
        <v>670.14994055671195</v>
      </c>
      <c r="N1908" s="1">
        <v>-14.276911805571471</v>
      </c>
      <c r="O1908" s="1">
        <v>6.303996802809147E-7</v>
      </c>
    </row>
    <row r="1909" spans="1:15" x14ac:dyDescent="0.25">
      <c r="A1909">
        <v>3917.35</v>
      </c>
      <c r="B1909" s="1">
        <v>0.1</v>
      </c>
      <c r="C1909" s="1">
        <v>6.7222939364134717</v>
      </c>
      <c r="D1909" s="1">
        <v>552.30000000000007</v>
      </c>
      <c r="E1909" s="1">
        <v>1069.4614348173648</v>
      </c>
      <c r="F1909" s="1">
        <v>467.99222087868895</v>
      </c>
      <c r="G1909" s="1">
        <v>4164.4680553657627</v>
      </c>
      <c r="H1909" s="1">
        <v>2.8159999999999998E-2</v>
      </c>
      <c r="I1909" s="1">
        <v>406.94975728581659</v>
      </c>
      <c r="J1909" s="1">
        <v>53.473071740868242</v>
      </c>
      <c r="K1909" s="1">
        <v>8.9010117105441836E-2</v>
      </c>
      <c r="L1909" s="1">
        <v>95.293741485396438</v>
      </c>
      <c r="M1909" s="1">
        <v>672.22939364132799</v>
      </c>
      <c r="N1909" s="1">
        <v>-14.28002180557147</v>
      </c>
      <c r="O1909" s="1">
        <v>6.2844218276164293E-7</v>
      </c>
    </row>
    <row r="1910" spans="1:15" x14ac:dyDescent="0.25">
      <c r="A1910">
        <v>3924.1</v>
      </c>
      <c r="B1910" s="1">
        <v>0.1</v>
      </c>
      <c r="C1910" s="1">
        <v>6.7432063600156313</v>
      </c>
      <c r="D1910" s="1">
        <v>552.4</v>
      </c>
      <c r="E1910" s="1">
        <v>1074.3947009332455</v>
      </c>
      <c r="F1910" s="1">
        <v>470.09056798473171</v>
      </c>
      <c r="G1910" s="1">
        <v>4175.2120023158541</v>
      </c>
      <c r="H1910" s="1">
        <v>2.8159999999999998E-2</v>
      </c>
      <c r="I1910" s="1">
        <v>408.7744069432452</v>
      </c>
      <c r="J1910" s="1">
        <v>53.719735046662279</v>
      </c>
      <c r="K1910" s="1">
        <v>8.8997680697068857E-2</v>
      </c>
      <c r="L1910" s="1">
        <v>95.307681201699509</v>
      </c>
      <c r="M1910" s="1">
        <v>674.32063600158472</v>
      </c>
      <c r="N1910" s="1">
        <v>-14.28313180557147</v>
      </c>
      <c r="O1910" s="1">
        <v>6.264907636029061E-7</v>
      </c>
    </row>
    <row r="1911" spans="1:15" x14ac:dyDescent="0.25">
      <c r="A1911">
        <v>3930.86</v>
      </c>
      <c r="B1911" s="1">
        <v>0.1</v>
      </c>
      <c r="C1911" s="1">
        <v>6.7642377202348687</v>
      </c>
      <c r="D1911" s="1">
        <v>552.5</v>
      </c>
      <c r="E1911" s="1">
        <v>1079.3643513123286</v>
      </c>
      <c r="F1911" s="1">
        <v>472.20393045208885</v>
      </c>
      <c r="G1911" s="1">
        <v>4186.0056457686087</v>
      </c>
      <c r="H1911" s="1">
        <v>2.8159999999999998E-2</v>
      </c>
      <c r="I1911" s="1">
        <v>410.61211343659903</v>
      </c>
      <c r="J1911" s="1">
        <v>53.968217565616435</v>
      </c>
      <c r="K1911" s="1">
        <v>8.8985251112731159E-2</v>
      </c>
      <c r="L1911" s="1">
        <v>95.321617162250462</v>
      </c>
      <c r="M1911" s="1">
        <v>676.42377202350872</v>
      </c>
      <c r="N1911" s="1">
        <v>-14.286241805571469</v>
      </c>
      <c r="O1911" s="1">
        <v>6.2454540393036814E-7</v>
      </c>
    </row>
    <row r="1912" spans="1:15" x14ac:dyDescent="0.25">
      <c r="A1912">
        <v>3937.65</v>
      </c>
      <c r="B1912" s="1">
        <v>0.1</v>
      </c>
      <c r="C1912" s="1">
        <v>6.7853890736518228</v>
      </c>
      <c r="D1912" s="1">
        <v>552.6</v>
      </c>
      <c r="E1912" s="1">
        <v>1084.3707647647971</v>
      </c>
      <c r="F1912" s="1">
        <v>474.33245993287699</v>
      </c>
      <c r="G1912" s="1">
        <v>4196.8493533547371</v>
      </c>
      <c r="H1912" s="1">
        <v>2.8159999999999998E-2</v>
      </c>
      <c r="I1912" s="1">
        <v>412.46300863728447</v>
      </c>
      <c r="J1912" s="1">
        <v>54.218538238239859</v>
      </c>
      <c r="K1912" s="1">
        <v>8.8972828323960307E-2</v>
      </c>
      <c r="L1912" s="1">
        <v>95.335549394200612</v>
      </c>
      <c r="M1912" s="1">
        <v>678.53890736519133</v>
      </c>
      <c r="N1912" s="1">
        <v>-14.289351805571467</v>
      </c>
      <c r="O1912" s="1">
        <v>6.2260608492830028E-7</v>
      </c>
    </row>
    <row r="1913" spans="1:15" x14ac:dyDescent="0.25">
      <c r="A1913">
        <v>3944.45</v>
      </c>
      <c r="B1913" s="1">
        <v>0.1</v>
      </c>
      <c r="C1913" s="1">
        <v>6.8066614897622708</v>
      </c>
      <c r="D1913" s="1">
        <v>552.70000000000005</v>
      </c>
      <c r="E1913" s="1">
        <v>1089.4143252429878</v>
      </c>
      <c r="F1913" s="1">
        <v>476.47631007647061</v>
      </c>
      <c r="G1913" s="1">
        <v>4207.7434965444727</v>
      </c>
      <c r="H1913" s="1">
        <v>2.8159999999999998E-2</v>
      </c>
      <c r="I1913" s="1">
        <v>414.32722615345273</v>
      </c>
      <c r="J1913" s="1">
        <v>54.470716262149395</v>
      </c>
      <c r="K1913" s="1">
        <v>8.8960412302122302E-2</v>
      </c>
      <c r="L1913" s="1">
        <v>95.349477924921842</v>
      </c>
      <c r="M1913" s="1">
        <v>680.66614897620639</v>
      </c>
      <c r="N1913" s="1">
        <v>-14.292461805571472</v>
      </c>
      <c r="O1913" s="1">
        <v>6.206727878393978E-7</v>
      </c>
    </row>
    <row r="1914" spans="1:15" x14ac:dyDescent="0.25">
      <c r="A1914">
        <v>3951.28</v>
      </c>
      <c r="B1914" s="1">
        <v>0.1</v>
      </c>
      <c r="C1914" s="1">
        <v>6.8280560511785211</v>
      </c>
      <c r="D1914" s="1">
        <v>552.80000000000007</v>
      </c>
      <c r="E1914" s="1">
        <v>1094.4954219261226</v>
      </c>
      <c r="F1914" s="1">
        <v>478.63563656208879</v>
      </c>
      <c r="G1914" s="1">
        <v>4218.6884506998358</v>
      </c>
      <c r="H1914" s="1">
        <v>2.8159999999999998E-2</v>
      </c>
      <c r="I1914" s="1">
        <v>416.20490135833819</v>
      </c>
      <c r="J1914" s="1">
        <v>54.724771096306135</v>
      </c>
      <c r="K1914" s="1">
        <v>8.8948003018416433E-2</v>
      </c>
      <c r="L1914" s="1">
        <v>95.363402782007952</v>
      </c>
      <c r="M1914" s="1">
        <v>682.80560511784643</v>
      </c>
      <c r="N1914" s="1">
        <v>-14.295571805571472</v>
      </c>
      <c r="O1914" s="1">
        <v>6.1874549396460754E-7</v>
      </c>
    </row>
    <row r="1915" spans="1:15" x14ac:dyDescent="0.25">
      <c r="A1915">
        <v>3958.13</v>
      </c>
      <c r="B1915" s="1">
        <v>0.1</v>
      </c>
      <c r="C1915" s="1">
        <v>6.849573853836123</v>
      </c>
      <c r="D1915" s="1">
        <v>552.9</v>
      </c>
      <c r="E1915" s="1">
        <v>1099.6144493102379</v>
      </c>
      <c r="F1915" s="1">
        <v>480.81059713206287</v>
      </c>
      <c r="G1915" s="1">
        <v>4229.6845951278092</v>
      </c>
      <c r="H1915" s="1">
        <v>2.8159999999999998E-2</v>
      </c>
      <c r="I1915" s="1">
        <v>418.09617141918511</v>
      </c>
      <c r="J1915" s="1">
        <v>54.980722465511896</v>
      </c>
      <c r="K1915" s="1">
        <v>8.8935600443872165E-2</v>
      </c>
      <c r="L1915" s="1">
        <v>95.377323993278537</v>
      </c>
      <c r="M1915" s="1">
        <v>684.95738538363184</v>
      </c>
      <c r="N1915" s="1">
        <v>-14.298681805571471</v>
      </c>
      <c r="O1915" s="1">
        <v>6.1682418466293301E-7</v>
      </c>
    </row>
    <row r="1916" spans="1:15" x14ac:dyDescent="0.25">
      <c r="A1916">
        <v>3965</v>
      </c>
      <c r="B1916" s="1">
        <v>0.1</v>
      </c>
      <c r="C1916" s="1">
        <v>6.8712160072025066</v>
      </c>
      <c r="D1916" s="1">
        <v>553</v>
      </c>
      <c r="E1916" s="1">
        <v>1104.7718072970447</v>
      </c>
      <c r="F1916" s="1">
        <v>483.00135162573019</v>
      </c>
      <c r="G1916" s="1">
        <v>4240.7323131343937</v>
      </c>
      <c r="H1916" s="1">
        <v>2.8159999999999998E-2</v>
      </c>
      <c r="I1916" s="1">
        <v>420.00117532672203</v>
      </c>
      <c r="J1916" s="1">
        <v>55.238590364852236</v>
      </c>
      <c r="K1916" s="1">
        <v>8.8923204549347726E-2</v>
      </c>
      <c r="L1916" s="1">
        <v>95.391241586780822</v>
      </c>
      <c r="M1916" s="1">
        <v>687.12160072022925</v>
      </c>
      <c r="N1916" s="1">
        <v>-14.301791805571471</v>
      </c>
      <c r="O1916" s="1">
        <v>6.1490884135126384E-7</v>
      </c>
    </row>
    <row r="1917" spans="1:15" x14ac:dyDescent="0.25">
      <c r="A1917">
        <v>3971.89</v>
      </c>
      <c r="B1917" s="1">
        <v>0.1</v>
      </c>
      <c r="C1917" s="1">
        <v>6.8929836344899931</v>
      </c>
      <c r="D1917" s="1">
        <v>553.1</v>
      </c>
      <c r="E1917" s="1">
        <v>1109.967901286657</v>
      </c>
      <c r="F1917" s="1">
        <v>485.20806201398574</v>
      </c>
      <c r="G1917" s="1">
        <v>4251.8319920795875</v>
      </c>
      <c r="H1917" s="1">
        <v>2.8159999999999998E-2</v>
      </c>
      <c r="I1917" s="1">
        <v>421.92005392520514</v>
      </c>
      <c r="J1917" s="1">
        <v>55.498395064332854</v>
      </c>
      <c r="K1917" s="1">
        <v>8.891081530552726E-2</v>
      </c>
      <c r="L1917" s="1">
        <v>95.405155590793072</v>
      </c>
      <c r="M1917" s="1">
        <v>689.2983634490065</v>
      </c>
      <c r="N1917" s="1">
        <v>-14.30490180557147</v>
      </c>
      <c r="O1917" s="1">
        <v>6.1299944550419255E-7</v>
      </c>
    </row>
    <row r="1918" spans="1:15" x14ac:dyDescent="0.25">
      <c r="A1918">
        <v>3978.81</v>
      </c>
      <c r="B1918" s="1">
        <v>0.1</v>
      </c>
      <c r="C1918" s="1">
        <v>6.9148778728746905</v>
      </c>
      <c r="D1918" s="1">
        <v>553.20000000000005</v>
      </c>
      <c r="E1918" s="1">
        <v>1115.2031422709817</v>
      </c>
      <c r="F1918" s="1">
        <v>487.43089243456018</v>
      </c>
      <c r="G1918" s="1">
        <v>4262.9840234333087</v>
      </c>
      <c r="H1918" s="1">
        <v>2.8159999999999998E-2</v>
      </c>
      <c r="I1918" s="1">
        <v>423.85294994309589</v>
      </c>
      <c r="J1918" s="1">
        <v>55.760157113549091</v>
      </c>
      <c r="K1918" s="1">
        <v>8.8898432682918888E-2</v>
      </c>
      <c r="L1918" s="1">
        <v>95.41906603382705</v>
      </c>
      <c r="M1918" s="1">
        <v>691.48778728745128</v>
      </c>
      <c r="N1918" s="1">
        <v>-14.30801180557147</v>
      </c>
      <c r="O1918" s="1">
        <v>6.11095978653837E-7</v>
      </c>
    </row>
    <row r="1919" spans="1:15" x14ac:dyDescent="0.25">
      <c r="A1919">
        <v>3985.75</v>
      </c>
      <c r="B1919" s="1">
        <v>0.1</v>
      </c>
      <c r="C1919" s="1">
        <v>6.9368998737158032</v>
      </c>
      <c r="D1919" s="1">
        <v>553.30000000000007</v>
      </c>
      <c r="E1919" s="1">
        <v>1120.4779469280445</v>
      </c>
      <c r="F1919" s="1">
        <v>489.67000922792158</v>
      </c>
      <c r="G1919" s="1">
        <v>4274.1888028322564</v>
      </c>
      <c r="H1919" s="1">
        <v>2.8159999999999998E-2</v>
      </c>
      <c r="I1919" s="1">
        <v>425.8000080242798</v>
      </c>
      <c r="J1919" s="1">
        <v>56.023897346402229</v>
      </c>
      <c r="K1919" s="1">
        <v>8.8886056651853243E-2</v>
      </c>
      <c r="L1919" s="1">
        <v>95.432972944629938</v>
      </c>
      <c r="M1919" s="1">
        <v>693.68998737159018</v>
      </c>
      <c r="N1919" s="1">
        <v>-14.311121805571467</v>
      </c>
      <c r="O1919" s="1">
        <v>6.0919842238966069E-7</v>
      </c>
    </row>
    <row r="1920" spans="1:15" x14ac:dyDescent="0.25">
      <c r="A1920">
        <v>3992.7</v>
      </c>
      <c r="B1920" s="1">
        <v>0.1</v>
      </c>
      <c r="C1920" s="1">
        <v>6.9590508027839588</v>
      </c>
      <c r="D1920" s="1">
        <v>553.4</v>
      </c>
      <c r="E1920" s="1">
        <v>1125.7927377220421</v>
      </c>
      <c r="F1920" s="1">
        <v>491.92558097396864</v>
      </c>
      <c r="G1920" s="1">
        <v>4285.4467301377672</v>
      </c>
      <c r="H1920" s="1">
        <v>2.8159999999999998E-2</v>
      </c>
      <c r="I1920" s="1">
        <v>427.76137475997285</v>
      </c>
      <c r="J1920" s="1">
        <v>56.289636886102109</v>
      </c>
      <c r="K1920" s="1">
        <v>8.8873687182479566E-2</v>
      </c>
      <c r="L1920" s="1">
        <v>95.446876352189008</v>
      </c>
      <c r="M1920" s="1">
        <v>695.9050802784077</v>
      </c>
      <c r="N1920" s="1">
        <v>-14.314231805571472</v>
      </c>
      <c r="O1920" s="1">
        <v>6.0730675835829244E-7</v>
      </c>
    </row>
    <row r="1921" spans="1:15" x14ac:dyDescent="0.25">
      <c r="A1921">
        <v>3999.69</v>
      </c>
      <c r="B1921" s="1">
        <v>0.1</v>
      </c>
      <c r="C1921" s="1">
        <v>6.9813318404902347</v>
      </c>
      <c r="D1921" s="1">
        <v>553.5</v>
      </c>
      <c r="E1921" s="1">
        <v>1131.1479430007321</v>
      </c>
      <c r="F1921" s="1">
        <v>494.19777852941058</v>
      </c>
      <c r="G1921" s="1">
        <v>4296.7582094946583</v>
      </c>
      <c r="H1921" s="1">
        <v>2.8159999999999998E-2</v>
      </c>
      <c r="I1921" s="1">
        <v>429.7371987212266</v>
      </c>
      <c r="J1921" s="1">
        <v>56.557397150036607</v>
      </c>
      <c r="K1921" s="1">
        <v>8.8861324244764825E-2</v>
      </c>
      <c r="L1921" s="1">
        <v>95.460776285732877</v>
      </c>
      <c r="M1921" s="1">
        <v>698.13318404903839</v>
      </c>
      <c r="N1921" s="1">
        <v>-14.317341805571472</v>
      </c>
      <c r="O1921" s="1">
        <v>6.0542096826335831E-7</v>
      </c>
    </row>
    <row r="1922" spans="1:15" x14ac:dyDescent="0.25">
      <c r="A1922">
        <v>4006.69</v>
      </c>
      <c r="B1922" s="1">
        <v>0.1</v>
      </c>
      <c r="C1922" s="1">
        <v>7.0037441821208661</v>
      </c>
      <c r="D1922" s="1">
        <v>553.6</v>
      </c>
      <c r="E1922" s="1">
        <v>1136.5439970977498</v>
      </c>
      <c r="F1922" s="1">
        <v>496.4867750658924</v>
      </c>
      <c r="G1922" s="1">
        <v>4308.1236493910801</v>
      </c>
      <c r="H1922" s="1">
        <v>2.8159999999999998E-2</v>
      </c>
      <c r="I1922" s="1">
        <v>431.72763049208032</v>
      </c>
      <c r="J1922" s="1">
        <v>56.827199854887489</v>
      </c>
      <c r="K1922" s="1">
        <v>8.8848967808490845E-2</v>
      </c>
      <c r="L1922" s="1">
        <v>95.474672774734955</v>
      </c>
      <c r="M1922" s="1">
        <v>700.37441821209541</v>
      </c>
      <c r="N1922" s="1">
        <v>-14.320451805571471</v>
      </c>
      <c r="O1922" s="1">
        <v>6.0354103386529117E-7</v>
      </c>
    </row>
    <row r="1923" spans="1:15" x14ac:dyDescent="0.25">
      <c r="A1923">
        <v>4013.72</v>
      </c>
      <c r="B1923" s="1">
        <v>0.1</v>
      </c>
      <c r="C1923" s="1">
        <v>7.0262890380772323</v>
      </c>
      <c r="D1923" s="1">
        <v>553.70000000000005</v>
      </c>
      <c r="E1923" s="1">
        <v>1141.9813404366596</v>
      </c>
      <c r="F1923" s="1">
        <v>498.79274610890496</v>
      </c>
      <c r="G1923" s="1">
        <v>4319.5434627194181</v>
      </c>
      <c r="H1923" s="1">
        <v>2.8159999999999998E-2</v>
      </c>
      <c r="I1923" s="1">
        <v>433.73282270339575</v>
      </c>
      <c r="J1923" s="1">
        <v>57.09906702183298</v>
      </c>
      <c r="K1923" s="1">
        <v>8.8836617843251781E-2</v>
      </c>
      <c r="L1923" s="1">
        <v>95.48856584891675</v>
      </c>
      <c r="M1923" s="1">
        <v>702.6289038077266</v>
      </c>
      <c r="N1923" s="1">
        <v>-14.323561805571471</v>
      </c>
      <c r="O1923" s="1">
        <v>6.0166693698116264E-7</v>
      </c>
    </row>
    <row r="1924" spans="1:15" x14ac:dyDescent="0.25">
      <c r="A1924">
        <v>4020.76</v>
      </c>
      <c r="B1924" s="1">
        <v>0.1</v>
      </c>
      <c r="C1924" s="1">
        <v>7.0489676341198946</v>
      </c>
      <c r="D1924" s="1">
        <v>553.80000000000007</v>
      </c>
      <c r="E1924" s="1">
        <v>1147.4604196360706</v>
      </c>
      <c r="F1924" s="1">
        <v>501.11586957747494</v>
      </c>
      <c r="G1924" s="1">
        <v>4331.0180668382445</v>
      </c>
      <c r="H1924" s="1">
        <v>2.8159999999999998E-2</v>
      </c>
      <c r="I1924" s="1">
        <v>435.75293006736962</v>
      </c>
      <c r="J1924" s="1">
        <v>57.373020981803535</v>
      </c>
      <c r="K1924" s="1">
        <v>8.8824274318452065E-2</v>
      </c>
      <c r="L1924" s="1">
        <v>95.502455538250189</v>
      </c>
      <c r="M1924" s="1">
        <v>704.89676341198901</v>
      </c>
      <c r="N1924" s="1">
        <v>-14.32667180557147</v>
      </c>
      <c r="O1924" s="1">
        <v>5.9979865948450588E-7</v>
      </c>
    </row>
    <row r="1925" spans="1:15" x14ac:dyDescent="0.25">
      <c r="A1925">
        <v>4027.84</v>
      </c>
      <c r="B1925" s="1">
        <v>0.1</v>
      </c>
      <c r="C1925" s="1">
        <v>7.0717812116171661</v>
      </c>
      <c r="D1925" s="1">
        <v>553.9</v>
      </c>
      <c r="E1925" s="1">
        <v>1152.9816876186151</v>
      </c>
      <c r="F1925" s="1">
        <v>503.45632582464441</v>
      </c>
      <c r="G1925" s="1">
        <v>4342.547883635355</v>
      </c>
      <c r="H1925" s="1">
        <v>2.8159999999999998E-2</v>
      </c>
      <c r="I1925" s="1">
        <v>437.78810941273434</v>
      </c>
      <c r="J1925" s="1">
        <v>57.649084380930759</v>
      </c>
      <c r="K1925" s="1">
        <v>8.8811937203303451E-2</v>
      </c>
      <c r="L1925" s="1">
        <v>95.51634187296149</v>
      </c>
      <c r="M1925" s="1">
        <v>707.17812116172354</v>
      </c>
      <c r="N1925" s="1">
        <v>-14.32978180557147</v>
      </c>
      <c r="O1925" s="1">
        <v>5.9793618330513927E-7</v>
      </c>
    </row>
    <row r="1926" spans="1:15" x14ac:dyDescent="0.25">
      <c r="A1926">
        <v>4034.93</v>
      </c>
      <c r="B1926" s="1">
        <v>0.1</v>
      </c>
      <c r="C1926" s="1">
        <v>7.0947310277989528</v>
      </c>
      <c r="D1926" s="1">
        <v>554</v>
      </c>
      <c r="E1926" s="1">
        <v>1158.5456037200624</v>
      </c>
      <c r="F1926" s="1">
        <v>505.81429767877358</v>
      </c>
      <c r="G1926" s="1">
        <v>4354.1333395919046</v>
      </c>
      <c r="H1926" s="1">
        <v>2.8159999999999998E-2</v>
      </c>
      <c r="I1926" s="1">
        <v>439.83851972067282</v>
      </c>
      <c r="J1926" s="1">
        <v>57.927280186003124</v>
      </c>
      <c r="K1926" s="1">
        <v>8.8799606466823194E-2</v>
      </c>
      <c r="L1926" s="1">
        <v>95.530224883533378</v>
      </c>
      <c r="M1926" s="1">
        <v>709.47310277988436</v>
      </c>
      <c r="N1926" s="1">
        <v>-14.332891805571469</v>
      </c>
      <c r="O1926" s="1">
        <v>5.9607949042899278E-7</v>
      </c>
    </row>
    <row r="1927" spans="1:15" x14ac:dyDescent="0.25">
      <c r="A1927">
        <v>4042.05</v>
      </c>
      <c r="B1927" s="1">
        <v>0.1</v>
      </c>
      <c r="C1927" s="1">
        <v>7.1178183560161967</v>
      </c>
      <c r="D1927" s="1">
        <v>554.1</v>
      </c>
      <c r="E1927" s="1">
        <v>1164.1526338034946</v>
      </c>
      <c r="F1927" s="1">
        <v>508.18997048570071</v>
      </c>
      <c r="G1927" s="1">
        <v>4365.7748658476739</v>
      </c>
      <c r="H1927" s="1">
        <v>2.8159999999999998E-2</v>
      </c>
      <c r="I1927" s="1">
        <v>441.90432216147889</v>
      </c>
      <c r="J1927" s="1">
        <v>58.207631690174736</v>
      </c>
      <c r="K1927" s="1">
        <v>8.8787282077830557E-2</v>
      </c>
      <c r="L1927" s="1">
        <v>95.544104600709304</v>
      </c>
      <c r="M1927" s="1">
        <v>711.78183560164143</v>
      </c>
      <c r="N1927" s="1">
        <v>-14.336001805571469</v>
      </c>
      <c r="O1927" s="1">
        <v>5.9422856289793245E-7</v>
      </c>
    </row>
    <row r="1928" spans="1:15" x14ac:dyDescent="0.25">
      <c r="A1928">
        <v>4049.19</v>
      </c>
      <c r="B1928" s="1">
        <v>0.1</v>
      </c>
      <c r="C1928" s="1">
        <v>7.1410444860040698</v>
      </c>
      <c r="D1928" s="1">
        <v>554.20000000000005</v>
      </c>
      <c r="E1928" s="1">
        <v>1169.8032503722811</v>
      </c>
      <c r="F1928" s="1">
        <v>510.58353215173537</v>
      </c>
      <c r="G1928" s="1">
        <v>4377.4728982674806</v>
      </c>
      <c r="H1928" s="1">
        <v>2.8159999999999998E-2</v>
      </c>
      <c r="I1928" s="1">
        <v>443.98568013194392</v>
      </c>
      <c r="J1928" s="1">
        <v>58.490162518614056</v>
      </c>
      <c r="K1928" s="1">
        <v>8.8774964004945556E-2</v>
      </c>
      <c r="L1928" s="1">
        <v>95.557981055495233</v>
      </c>
      <c r="M1928" s="1">
        <v>714.10444860039206</v>
      </c>
      <c r="N1928" s="1">
        <v>-14.339111805571472</v>
      </c>
      <c r="O1928" s="1">
        <v>5.9238338280958562E-7</v>
      </c>
    </row>
    <row r="1929" spans="1:15" x14ac:dyDescent="0.25">
      <c r="A1929">
        <v>4056.35</v>
      </c>
      <c r="B1929" s="1">
        <v>0.1</v>
      </c>
      <c r="C1929" s="1">
        <v>7.1644107241515238</v>
      </c>
      <c r="D1929" s="1">
        <v>554.30000000000007</v>
      </c>
      <c r="E1929" s="1">
        <v>1175.4979326897176</v>
      </c>
      <c r="F1929" s="1">
        <v>512.99517318754249</v>
      </c>
      <c r="G1929" s="1">
        <v>4389.2278775087707</v>
      </c>
      <c r="H1929" s="1">
        <v>2.8159999999999998E-2</v>
      </c>
      <c r="I1929" s="1">
        <v>446.08275929351527</v>
      </c>
      <c r="J1929" s="1">
        <v>58.774896634485884</v>
      </c>
      <c r="K1929" s="1">
        <v>8.8762652216584803E-2</v>
      </c>
      <c r="L1929" s="1">
        <v>95.571854279164555</v>
      </c>
      <c r="M1929" s="1">
        <v>716.44107241513666</v>
      </c>
      <c r="N1929" s="1">
        <v>-14.342221805571471</v>
      </c>
      <c r="O1929" s="1">
        <v>5.9054393231717606E-7</v>
      </c>
    </row>
    <row r="1930" spans="1:15" x14ac:dyDescent="0.25">
      <c r="A1930">
        <v>4063.54</v>
      </c>
      <c r="B1930" s="1">
        <v>0.1</v>
      </c>
      <c r="C1930" s="1">
        <v>7.1879183937761173</v>
      </c>
      <c r="D1930" s="1">
        <v>554.4</v>
      </c>
      <c r="E1930" s="1">
        <v>1181.2371668966648</v>
      </c>
      <c r="F1930" s="1">
        <v>515.42508675293197</v>
      </c>
      <c r="G1930" s="1">
        <v>4401.0402490903989</v>
      </c>
      <c r="H1930" s="1">
        <v>2.8159999999999998E-2</v>
      </c>
      <c r="I1930" s="1">
        <v>448.19572761124533</v>
      </c>
      <c r="J1930" s="1">
        <v>59.06185834483324</v>
      </c>
      <c r="K1930" s="1">
        <v>8.875034668096049E-2</v>
      </c>
      <c r="L1930" s="1">
        <v>95.585724303259667</v>
      </c>
      <c r="M1930" s="1">
        <v>718.79183937762718</v>
      </c>
      <c r="N1930" s="1">
        <v>-14.345331805571471</v>
      </c>
      <c r="O1930" s="1">
        <v>5.8871019362933796E-7</v>
      </c>
    </row>
    <row r="1931" spans="1:15" x14ac:dyDescent="0.25">
      <c r="A1931">
        <v>4070.75</v>
      </c>
      <c r="B1931" s="1">
        <v>0.1</v>
      </c>
      <c r="C1931" s="1">
        <v>7.2115688354048686</v>
      </c>
      <c r="D1931" s="1">
        <v>554.5</v>
      </c>
      <c r="E1931" s="1">
        <v>1187.0214461362493</v>
      </c>
      <c r="F1931" s="1">
        <v>517.87346870259137</v>
      </c>
      <c r="G1931" s="1">
        <v>4412.9104634626528</v>
      </c>
      <c r="H1931" s="1">
        <v>2.8159999999999998E-2</v>
      </c>
      <c r="I1931" s="1">
        <v>450.32475539355772</v>
      </c>
      <c r="J1931" s="1">
        <v>59.351072306812469</v>
      </c>
      <c r="K1931" s="1">
        <v>8.8738047366075976E-2</v>
      </c>
      <c r="L1931" s="1">
        <v>95.599591159597068</v>
      </c>
      <c r="M1931" s="1">
        <v>721.15688354047052</v>
      </c>
      <c r="N1931" s="1">
        <v>-14.34844180557147</v>
      </c>
      <c r="O1931" s="1">
        <v>5.8688214900995305E-7</v>
      </c>
    </row>
    <row r="1932" spans="1:15" x14ac:dyDescent="0.25">
      <c r="A1932">
        <v>4077.99</v>
      </c>
      <c r="B1932" s="1">
        <v>0.1</v>
      </c>
      <c r="C1932" s="1">
        <v>7.2353634070583901</v>
      </c>
      <c r="D1932" s="1">
        <v>554.6</v>
      </c>
      <c r="E1932" s="1">
        <v>1192.8512706768313</v>
      </c>
      <c r="F1932" s="1">
        <v>520.34051763270838</v>
      </c>
      <c r="G1932" s="1">
        <v>4424.8389760785021</v>
      </c>
      <c r="H1932" s="1">
        <v>2.8159999999999998E-2</v>
      </c>
      <c r="I1932" s="1">
        <v>452.47001533279007</v>
      </c>
      <c r="J1932" s="1">
        <v>59.642563533841567</v>
      </c>
      <c r="K1932" s="1">
        <v>8.8725754239724619E-2</v>
      </c>
      <c r="L1932" s="1">
        <v>95.613454880269217</v>
      </c>
      <c r="M1932" s="1">
        <v>723.53634070582302</v>
      </c>
      <c r="N1932" s="1">
        <v>-14.351551805571468</v>
      </c>
      <c r="O1932" s="1">
        <v>5.8505978077797702E-7</v>
      </c>
    </row>
    <row r="1933" spans="1:15" x14ac:dyDescent="0.25">
      <c r="A1933">
        <v>4085.25</v>
      </c>
      <c r="B1933" s="1">
        <v>0.1</v>
      </c>
      <c r="C1933" s="1">
        <v>7.2593034845438291</v>
      </c>
      <c r="D1933" s="1">
        <v>554.70000000000005</v>
      </c>
      <c r="E1933" s="1">
        <v>1198.7271480416339</v>
      </c>
      <c r="F1933" s="1">
        <v>522.82643492860655</v>
      </c>
      <c r="G1933" s="1">
        <v>4436.8262474661424</v>
      </c>
      <c r="H1933" s="1">
        <v>2.8159999999999998E-2</v>
      </c>
      <c r="I1933" s="1">
        <v>454.6316825466144</v>
      </c>
      <c r="J1933" s="1">
        <v>59.936357402081697</v>
      </c>
      <c r="K1933" s="1">
        <v>8.8713467269485591E-2</v>
      </c>
      <c r="L1933" s="1">
        <v>95.627315497649349</v>
      </c>
      <c r="M1933" s="1">
        <v>725.93034845440343</v>
      </c>
      <c r="N1933" s="1">
        <v>-14.354661805571469</v>
      </c>
      <c r="O1933" s="1">
        <v>5.8324307130726739E-7</v>
      </c>
    </row>
    <row r="1934" spans="1:15" x14ac:dyDescent="0.25">
      <c r="A1934">
        <v>4092.53</v>
      </c>
      <c r="B1934" s="1">
        <v>0.1</v>
      </c>
      <c r="C1934" s="1">
        <v>7.2833904617517433</v>
      </c>
      <c r="D1934" s="1">
        <v>554.80000000000007</v>
      </c>
      <c r="E1934" s="1">
        <v>1204.6495931369084</v>
      </c>
      <c r="F1934" s="1">
        <v>525.33142481334755</v>
      </c>
      <c r="G1934" s="1">
        <v>4448.8727433028344</v>
      </c>
      <c r="H1934" s="1">
        <v>2.8159999999999998E-2</v>
      </c>
      <c r="I1934" s="1">
        <v>456.80993462030227</v>
      </c>
      <c r="J1934" s="1">
        <v>60.23247965684542</v>
      </c>
      <c r="K1934" s="1">
        <v>8.8701186422722622E-2</v>
      </c>
      <c r="L1934" s="1">
        <v>95.641173044393412</v>
      </c>
      <c r="M1934" s="1">
        <v>728.33904617518783</v>
      </c>
      <c r="N1934" s="1">
        <v>-14.357771805571469</v>
      </c>
      <c r="O1934" s="1">
        <v>5.8143200302641462E-7</v>
      </c>
    </row>
    <row r="1935" spans="1:15" x14ac:dyDescent="0.25">
      <c r="A1935">
        <v>4099.84</v>
      </c>
      <c r="B1935" s="1">
        <v>0.1</v>
      </c>
      <c r="C1935" s="1">
        <v>7.3076257509609652</v>
      </c>
      <c r="D1935" s="1">
        <v>554.9</v>
      </c>
      <c r="E1935" s="1">
        <v>1210.6191283879575</v>
      </c>
      <c r="F1935" s="1">
        <v>527.85569439738981</v>
      </c>
      <c r="G1935" s="1">
        <v>4460.9789344900928</v>
      </c>
      <c r="H1935" s="1">
        <v>2.8159999999999998E-2</v>
      </c>
      <c r="I1935" s="1">
        <v>459.00495164990434</v>
      </c>
      <c r="J1935" s="1">
        <v>60.530956419397882</v>
      </c>
      <c r="K1935" s="1">
        <v>8.8688911666579356E-2</v>
      </c>
      <c r="L1935" s="1">
        <v>95.655027553445549</v>
      </c>
      <c r="M1935" s="1">
        <v>730.76257509610514</v>
      </c>
      <c r="N1935" s="1">
        <v>-14.360881805571472</v>
      </c>
      <c r="O1935" s="1">
        <v>5.7962655841856918E-7</v>
      </c>
    </row>
    <row r="1936" spans="1:15" x14ac:dyDescent="0.25">
      <c r="A1936">
        <v>4107.17</v>
      </c>
      <c r="B1936" s="1">
        <v>0.1</v>
      </c>
      <c r="C1936" s="1">
        <v>7.3320107831466768</v>
      </c>
      <c r="D1936" s="1">
        <v>555</v>
      </c>
      <c r="E1936" s="1">
        <v>1216.6362838730292</v>
      </c>
      <c r="F1936" s="1">
        <v>530.39945372922978</v>
      </c>
      <c r="G1936" s="1">
        <v>4473.1452972302095</v>
      </c>
      <c r="H1936" s="1">
        <v>2.8159999999999998E-2</v>
      </c>
      <c r="I1936" s="1">
        <v>461.21691628628685</v>
      </c>
      <c r="J1936" s="1">
        <v>60.831814193651468</v>
      </c>
      <c r="K1936" s="1">
        <v>8.8676642967977781E-2</v>
      </c>
      <c r="L1936" s="1">
        <v>95.668879058040204</v>
      </c>
      <c r="M1936" s="1">
        <v>733.20107831468704</v>
      </c>
      <c r="N1936" s="1">
        <v>-14.363991805571471</v>
      </c>
      <c r="O1936" s="1">
        <v>5.7782672002127995E-7</v>
      </c>
    </row>
    <row r="1937" spans="1:15" x14ac:dyDescent="0.25">
      <c r="A1937">
        <v>4114.53</v>
      </c>
      <c r="B1937" s="1">
        <v>0.1</v>
      </c>
      <c r="C1937" s="1">
        <v>7.3565470082975333</v>
      </c>
      <c r="D1937" s="1">
        <v>555.1</v>
      </c>
      <c r="E1937" s="1">
        <v>1222.7015974633382</v>
      </c>
      <c r="F1937" s="1">
        <v>532.96291584713993</v>
      </c>
      <c r="G1937" s="1">
        <v>4485.3723131041907</v>
      </c>
      <c r="H1937" s="1">
        <v>2.8159999999999998E-2</v>
      </c>
      <c r="I1937" s="1">
        <v>463.44601378012169</v>
      </c>
      <c r="J1937" s="1">
        <v>61.135079873166916</v>
      </c>
      <c r="K1937" s="1">
        <v>8.86643802936148E-2</v>
      </c>
      <c r="L1937" s="1">
        <v>95.682727591706382</v>
      </c>
      <c r="M1937" s="1">
        <v>735.6547008297639</v>
      </c>
      <c r="N1937" s="1">
        <v>-14.367101805571471</v>
      </c>
      <c r="O1937" s="1">
        <v>5.7603247042631413E-7</v>
      </c>
    </row>
    <row r="1938" spans="1:15" x14ac:dyDescent="0.25">
      <c r="A1938">
        <v>4121.91</v>
      </c>
      <c r="B1938" s="1">
        <v>0.1</v>
      </c>
      <c r="C1938" s="1">
        <v>7.3812358957393984</v>
      </c>
      <c r="D1938" s="1">
        <v>555.20000000000005</v>
      </c>
      <c r="E1938" s="1">
        <v>1228.8156149658835</v>
      </c>
      <c r="F1938" s="1">
        <v>535.54629683202825</v>
      </c>
      <c r="G1938" s="1">
        <v>4497.6604691511084</v>
      </c>
      <c r="H1938" s="1">
        <v>2.8159999999999998E-2</v>
      </c>
      <c r="I1938" s="1">
        <v>465.69243202785071</v>
      </c>
      <c r="J1938" s="1">
        <v>61.440780748294173</v>
      </c>
      <c r="K1938" s="1">
        <v>8.8652123609958708E-2</v>
      </c>
      <c r="L1938" s="1">
        <v>95.696573188271913</v>
      </c>
      <c r="M1938" s="1">
        <v>738.12358957393371</v>
      </c>
      <c r="N1938" s="1">
        <v>-14.370211805571468</v>
      </c>
      <c r="O1938" s="1">
        <v>5.7424379227949629E-7</v>
      </c>
    </row>
    <row r="1939" spans="1:15" x14ac:dyDescent="0.25">
      <c r="A1939">
        <v>4129.32</v>
      </c>
      <c r="B1939" s="1">
        <v>0.1</v>
      </c>
      <c r="C1939" s="1">
        <v>7.40607893446131</v>
      </c>
      <c r="D1939" s="1">
        <v>555.30000000000007</v>
      </c>
      <c r="E1939" s="1">
        <v>1234.9788902665359</v>
      </c>
      <c r="F1939" s="1">
        <v>538.14981586131069</v>
      </c>
      <c r="G1939" s="1">
        <v>4510.010257948893</v>
      </c>
      <c r="H1939" s="1">
        <v>2.8159999999999998E-2</v>
      </c>
      <c r="I1939" s="1">
        <v>467.95636161853122</v>
      </c>
      <c r="J1939" s="1">
        <v>61.748944513326798</v>
      </c>
      <c r="K1939" s="1">
        <v>8.8639872883247456E-2</v>
      </c>
      <c r="L1939" s="1">
        <v>95.710415881865856</v>
      </c>
      <c r="M1939" s="1">
        <v>740.60789344612203</v>
      </c>
      <c r="N1939" s="1">
        <v>-14.373321805571468</v>
      </c>
      <c r="O1939" s="1">
        <v>5.7246066828053823E-7</v>
      </c>
    </row>
    <row r="1940" spans="1:15" x14ac:dyDescent="0.25">
      <c r="A1940">
        <v>4136.75</v>
      </c>
      <c r="B1940" s="1">
        <v>0.1</v>
      </c>
      <c r="C1940" s="1">
        <v>7.4310776334566873</v>
      </c>
      <c r="D1940" s="1">
        <v>555.4</v>
      </c>
      <c r="E1940" s="1">
        <v>1241.1919854812493</v>
      </c>
      <c r="F1940" s="1">
        <v>540.77369526408711</v>
      </c>
      <c r="G1940" s="1">
        <v>4522.4221776966315</v>
      </c>
      <c r="H1940" s="1">
        <v>2.8159999999999998E-2</v>
      </c>
      <c r="I1940" s="1">
        <v>470.23799588181504</v>
      </c>
      <c r="J1940" s="1">
        <v>62.059599274062464</v>
      </c>
      <c r="K1940" s="1">
        <v>8.8627628079483822E-2</v>
      </c>
      <c r="L1940" s="1">
        <v>95.724255706924168</v>
      </c>
      <c r="M1940" s="1">
        <v>743.107763345688</v>
      </c>
      <c r="N1940" s="1">
        <v>-14.376431805571469</v>
      </c>
      <c r="O1940" s="1">
        <v>5.7068308118287254E-7</v>
      </c>
    </row>
    <row r="1941" spans="1:15" x14ac:dyDescent="0.25">
      <c r="A1941">
        <v>4144.2</v>
      </c>
      <c r="B1941" s="1">
        <v>0.1</v>
      </c>
      <c r="C1941" s="1">
        <v>7.4562335220623446</v>
      </c>
      <c r="D1941" s="1">
        <v>555.5</v>
      </c>
      <c r="E1941" s="1">
        <v>1247.4554711055407</v>
      </c>
      <c r="F1941" s="1">
        <v>543.41816057735412</v>
      </c>
      <c r="G1941" s="1">
        <v>4534.8967322983699</v>
      </c>
      <c r="H1941" s="1">
        <v>2.8159999999999998E-2</v>
      </c>
      <c r="I1941" s="1">
        <v>472.5375309368298</v>
      </c>
      <c r="J1941" s="1">
        <v>62.372773555277035</v>
      </c>
      <c r="K1941" s="1">
        <v>8.8615389164433636E-2</v>
      </c>
      <c r="L1941" s="1">
        <v>95.738092698192233</v>
      </c>
      <c r="M1941" s="1">
        <v>745.62335220625755</v>
      </c>
      <c r="N1941" s="1">
        <v>-14.379541805571467</v>
      </c>
      <c r="O1941" s="1">
        <v>5.6891101379348564E-7</v>
      </c>
    </row>
    <row r="1942" spans="1:15" x14ac:dyDescent="0.25">
      <c r="A1942">
        <v>4151.68</v>
      </c>
      <c r="B1942" s="1">
        <v>0.1</v>
      </c>
      <c r="C1942" s="1">
        <v>7.4815481503113448</v>
      </c>
      <c r="D1942" s="1">
        <v>555.6</v>
      </c>
      <c r="E1942" s="1">
        <v>1253.7699261709001</v>
      </c>
      <c r="F1942" s="1">
        <v>546.08344060350282</v>
      </c>
      <c r="G1942" s="1">
        <v>4547.4344314484606</v>
      </c>
      <c r="H1942" s="1">
        <v>2.8159999999999998E-2</v>
      </c>
      <c r="I1942" s="1">
        <v>474.85516574217655</v>
      </c>
      <c r="J1942" s="1">
        <v>62.688496308545012</v>
      </c>
      <c r="K1942" s="1">
        <v>8.8603156103621655E-2</v>
      </c>
      <c r="L1942" s="1">
        <v>95.751926890729791</v>
      </c>
      <c r="M1942" s="1">
        <v>748.15481503110277</v>
      </c>
      <c r="N1942" s="1">
        <v>-14.382651805571472</v>
      </c>
      <c r="O1942" s="1">
        <v>5.6714444897274801E-7</v>
      </c>
    </row>
    <row r="1943" spans="1:15" x14ac:dyDescent="0.25">
      <c r="A1943">
        <v>4159.1899999999996</v>
      </c>
      <c r="B1943" s="1">
        <v>0.1</v>
      </c>
      <c r="C1943" s="1">
        <v>7.5070230892890999</v>
      </c>
      <c r="D1943" s="1">
        <v>555.70000000000005</v>
      </c>
      <c r="E1943" s="1">
        <v>1260.1359384021293</v>
      </c>
      <c r="F1943" s="1">
        <v>548.76976746899606</v>
      </c>
      <c r="G1943" s="1">
        <v>4560.035790718508</v>
      </c>
      <c r="H1943" s="1">
        <v>2.8159999999999998E-2</v>
      </c>
      <c r="I1943" s="1">
        <v>477.1911021469532</v>
      </c>
      <c r="J1943" s="1">
        <v>63.006796920106467</v>
      </c>
      <c r="K1943" s="1">
        <v>8.8590928862328999E-2</v>
      </c>
      <c r="L1943" s="1">
        <v>95.765758319914212</v>
      </c>
      <c r="M1943" s="1">
        <v>750.70230892888503</v>
      </c>
      <c r="N1943" s="1">
        <v>-14.385761805571471</v>
      </c>
      <c r="O1943" s="1">
        <v>5.6538336963425884E-7</v>
      </c>
    </row>
    <row r="1944" spans="1:15" x14ac:dyDescent="0.25">
      <c r="A1944">
        <v>4166.72</v>
      </c>
      <c r="B1944" s="1">
        <v>0.1</v>
      </c>
      <c r="C1944" s="1">
        <v>7.5326599315004685</v>
      </c>
      <c r="D1944" s="1">
        <v>555.80000000000007</v>
      </c>
      <c r="E1944" s="1">
        <v>1266.5541043802798</v>
      </c>
      <c r="F1944" s="1">
        <v>551.47737668436685</v>
      </c>
      <c r="G1944" s="1">
        <v>4572.7013316459243</v>
      </c>
      <c r="H1944" s="1">
        <v>2.8159999999999998E-2</v>
      </c>
      <c r="I1944" s="1">
        <v>479.54554494292779</v>
      </c>
      <c r="J1944" s="1">
        <v>63.327705219013993</v>
      </c>
      <c r="K1944" s="1">
        <v>8.8578707405589291E-2</v>
      </c>
      <c r="L1944" s="1">
        <v>95.779587021445323</v>
      </c>
      <c r="M1944" s="1">
        <v>753.26599315003477</v>
      </c>
      <c r="N1944" s="1">
        <v>-14.388871805571471</v>
      </c>
      <c r="O1944" s="1">
        <v>5.6362775874466668E-7</v>
      </c>
    </row>
    <row r="1945" spans="1:15" x14ac:dyDescent="0.25">
      <c r="A1945">
        <v>4174.28</v>
      </c>
      <c r="B1945" s="1">
        <v>0.1</v>
      </c>
      <c r="C1945" s="1">
        <v>7.558460291241361</v>
      </c>
      <c r="D1945" s="1">
        <v>555.9</v>
      </c>
      <c r="E1945" s="1">
        <v>1273.0250297082523</v>
      </c>
      <c r="F1945" s="1">
        <v>554.20650720546803</v>
      </c>
      <c r="G1945" s="1">
        <v>4585.4315818241439</v>
      </c>
      <c r="H1945" s="1">
        <v>2.8159999999999998E-2</v>
      </c>
      <c r="I1945" s="1">
        <v>481.91870191779844</v>
      </c>
      <c r="J1945" s="1">
        <v>63.651251485412615</v>
      </c>
      <c r="K1945" s="1">
        <v>8.8566491698185243E-2</v>
      </c>
      <c r="L1945" s="1">
        <v>95.793413031349559</v>
      </c>
      <c r="M1945" s="1">
        <v>755.84602912413175</v>
      </c>
      <c r="N1945" s="1">
        <v>-14.391981805571469</v>
      </c>
      <c r="O1945" s="1">
        <v>5.6187759932351388E-7</v>
      </c>
    </row>
    <row r="1946" spans="1:15" x14ac:dyDescent="0.25">
      <c r="A1946">
        <v>4181.87</v>
      </c>
      <c r="B1946" s="1">
        <v>0.1</v>
      </c>
      <c r="C1946" s="1">
        <v>7.5844258049805156</v>
      </c>
      <c r="D1946" s="1">
        <v>556</v>
      </c>
      <c r="E1946" s="1">
        <v>1279.5493291790638</v>
      </c>
      <c r="F1946" s="1">
        <v>556.95740149607707</v>
      </c>
      <c r="G1946" s="1">
        <v>4598.2270749945374</v>
      </c>
      <c r="H1946" s="1">
        <v>2.8159999999999998E-2</v>
      </c>
      <c r="I1946" s="1">
        <v>484.31078390963233</v>
      </c>
      <c r="J1946" s="1">
        <v>63.977466458953188</v>
      </c>
      <c r="K1946" s="1">
        <v>8.8554281704645785E-2</v>
      </c>
      <c r="L1946" s="1">
        <v>95.807236385983629</v>
      </c>
      <c r="M1946" s="1">
        <v>758.44258049801283</v>
      </c>
      <c r="N1946" s="1">
        <v>-14.39509180557147</v>
      </c>
      <c r="O1946" s="1">
        <v>5.6013287444306956E-7</v>
      </c>
    </row>
    <row r="1947" spans="1:15" x14ac:dyDescent="0.25">
      <c r="A1947">
        <v>4189.4799999999996</v>
      </c>
      <c r="B1947" s="1">
        <v>0.1</v>
      </c>
      <c r="C1947" s="1">
        <v>7.6105581317478714</v>
      </c>
      <c r="D1947" s="1">
        <v>556.1</v>
      </c>
      <c r="E1947" s="1">
        <v>1286.1276269499733</v>
      </c>
      <c r="F1947" s="1">
        <v>559.73030559184167</v>
      </c>
      <c r="G1947" s="1">
        <v>4611.0883511400398</v>
      </c>
      <c r="H1947" s="1">
        <v>2.8159999999999998E-2</v>
      </c>
      <c r="I1947" s="1">
        <v>486.72200486247112</v>
      </c>
      <c r="J1947" s="1">
        <v>64.306381347498672</v>
      </c>
      <c r="K1947" s="1">
        <v>8.8542077389242135E-2</v>
      </c>
      <c r="L1947" s="1">
        <v>95.82105712203942</v>
      </c>
      <c r="M1947" s="1">
        <v>761.05581317478936</v>
      </c>
      <c r="N1947" s="1">
        <v>-14.398201805571468</v>
      </c>
      <c r="O1947" s="1">
        <v>5.5839356722816705E-7</v>
      </c>
    </row>
    <row r="1948" spans="1:15" x14ac:dyDescent="0.25">
      <c r="A1948">
        <v>4197.1099999999997</v>
      </c>
      <c r="B1948" s="1">
        <v>0.1</v>
      </c>
      <c r="C1948" s="1">
        <v>7.6368589535336193</v>
      </c>
      <c r="D1948" s="1">
        <v>556.20000000000005</v>
      </c>
      <c r="E1948" s="1">
        <v>1292.7605567198075</v>
      </c>
      <c r="F1948" s="1">
        <v>562.52546916567428</v>
      </c>
      <c r="G1948" s="1">
        <v>4624.0159565805779</v>
      </c>
      <c r="H1948" s="1">
        <v>2.8159999999999998E-2</v>
      </c>
      <c r="I1948" s="1">
        <v>489.15258188319518</v>
      </c>
      <c r="J1948" s="1">
        <v>64.638027835990371</v>
      </c>
      <c r="K1948" s="1">
        <v>8.8529878715983834E-2</v>
      </c>
      <c r="L1948" s="1">
        <v>95.834875276548743</v>
      </c>
      <c r="M1948" s="1">
        <v>763.68589535331921</v>
      </c>
      <c r="N1948" s="1">
        <v>-14.401311805571469</v>
      </c>
      <c r="O1948" s="1">
        <v>5.5665966085603891E-7</v>
      </c>
    </row>
    <row r="1949" spans="1:15" x14ac:dyDescent="0.25">
      <c r="A1949">
        <v>4204.78</v>
      </c>
      <c r="B1949" s="1">
        <v>0.1</v>
      </c>
      <c r="C1949" s="1">
        <v>7.6633299756919255</v>
      </c>
      <c r="D1949" s="1">
        <v>556.30000000000007</v>
      </c>
      <c r="E1949" s="1">
        <v>1299.44876190895</v>
      </c>
      <c r="F1949" s="1">
        <v>565.34314559451025</v>
      </c>
      <c r="G1949" s="1">
        <v>4637.0104440702762</v>
      </c>
      <c r="H1949" s="1">
        <v>2.8159999999999998E-2</v>
      </c>
      <c r="I1949" s="1">
        <v>491.60273529957425</v>
      </c>
      <c r="J1949" s="1">
        <v>64.972438095447501</v>
      </c>
      <c r="K1949" s="1">
        <v>8.8517685648616007E-2</v>
      </c>
      <c r="L1949" s="1">
        <v>95.848690886887027</v>
      </c>
      <c r="M1949" s="1">
        <v>766.33299756922497</v>
      </c>
      <c r="N1949" s="1">
        <v>-14.404421805571472</v>
      </c>
      <c r="O1949" s="1">
        <v>5.5493113855615459E-7</v>
      </c>
    </row>
    <row r="1950" spans="1:15" x14ac:dyDescent="0.25">
      <c r="A1950">
        <v>4212.47</v>
      </c>
      <c r="B1950" s="1">
        <v>0.1</v>
      </c>
      <c r="C1950" s="1">
        <v>7.6899729273569379</v>
      </c>
      <c r="D1950" s="1">
        <v>556.4</v>
      </c>
      <c r="E1950" s="1">
        <v>1306.1928958447932</v>
      </c>
      <c r="F1950" s="1">
        <v>568.18359202757756</v>
      </c>
      <c r="G1950" s="1">
        <v>4650.072372896534</v>
      </c>
      <c r="H1950" s="1">
        <v>2.8159999999999998E-2</v>
      </c>
      <c r="I1950" s="1">
        <v>494.07268871963282</v>
      </c>
      <c r="J1950" s="1">
        <v>65.309644792239666</v>
      </c>
      <c r="K1950" s="1">
        <v>8.8505498150615272E-2</v>
      </c>
      <c r="L1950" s="1">
        <v>95.862503990778208</v>
      </c>
      <c r="M1950" s="1">
        <v>768.9972927357303</v>
      </c>
      <c r="N1950" s="1">
        <v>-14.407531805571471</v>
      </c>
      <c r="O1950" s="1">
        <v>5.5320798361006331E-7</v>
      </c>
    </row>
    <row r="1951" spans="1:15" x14ac:dyDescent="0.25">
      <c r="A1951">
        <v>4220.18</v>
      </c>
      <c r="B1951" s="1">
        <v>0.1</v>
      </c>
      <c r="C1951" s="1">
        <v>7.7167895618665217</v>
      </c>
      <c r="D1951" s="1">
        <v>556.5</v>
      </c>
      <c r="E1951" s="1">
        <v>1312.9936219518522</v>
      </c>
      <c r="F1951" s="1">
        <v>571.04706945617886</v>
      </c>
      <c r="G1951" s="1">
        <v>4663.2023089809918</v>
      </c>
      <c r="H1951" s="1">
        <v>2.8159999999999998E-2</v>
      </c>
      <c r="I1951" s="1">
        <v>496.56266909232943</v>
      </c>
      <c r="J1951" s="1">
        <v>65.649681097592619</v>
      </c>
      <c r="K1951" s="1">
        <v>8.8493316185185855E-2</v>
      </c>
      <c r="L1951" s="1">
        <v>95.876314626299688</v>
      </c>
      <c r="M1951" s="1">
        <v>771.67895618667899</v>
      </c>
      <c r="N1951" s="1">
        <v>-14.410641805571471</v>
      </c>
      <c r="O1951" s="1">
        <v>5.5149017935122304E-7</v>
      </c>
    </row>
    <row r="1952" spans="1:15" x14ac:dyDescent="0.25">
      <c r="A1952">
        <v>4227.93</v>
      </c>
      <c r="B1952" s="1">
        <v>0.1</v>
      </c>
      <c r="C1952" s="1">
        <v>7.743781657195167</v>
      </c>
      <c r="D1952" s="1">
        <v>556.6</v>
      </c>
      <c r="E1952" s="1">
        <v>1319.8516139452111</v>
      </c>
      <c r="F1952" s="1">
        <v>573.93384278501753</v>
      </c>
      <c r="G1952" s="1">
        <v>4676.400824982441</v>
      </c>
      <c r="H1952" s="1">
        <v>2.8159999999999998E-2</v>
      </c>
      <c r="I1952" s="1">
        <v>499.07290676958053</v>
      </c>
      <c r="J1952" s="1">
        <v>65.99258069726055</v>
      </c>
      <c r="K1952" s="1">
        <v>8.8481139715255577E-2</v>
      </c>
      <c r="L1952" s="1">
        <v>95.890122831887112</v>
      </c>
      <c r="M1952" s="1">
        <v>774.37816571955409</v>
      </c>
      <c r="N1952" s="1">
        <v>-14.41375180557147</v>
      </c>
      <c r="O1952" s="1">
        <v>5.49777709164846E-7</v>
      </c>
    </row>
    <row r="1953" spans="1:15" x14ac:dyDescent="0.25">
      <c r="A1953">
        <v>4235.7</v>
      </c>
      <c r="B1953" s="1">
        <v>0.1</v>
      </c>
      <c r="C1953" s="1">
        <v>7.7709510163950579</v>
      </c>
      <c r="D1953" s="1">
        <v>556.70000000000005</v>
      </c>
      <c r="E1953" s="1">
        <v>1326.7675560274306</v>
      </c>
      <c r="F1953" s="1">
        <v>576.84418090507472</v>
      </c>
      <c r="G1953" s="1">
        <v>4689.6685004016963</v>
      </c>
      <c r="H1953" s="1">
        <v>2.8159999999999998E-2</v>
      </c>
      <c r="I1953" s="1">
        <v>501.60363556963034</v>
      </c>
      <c r="J1953" s="1">
        <v>66.338377801371536</v>
      </c>
      <c r="K1953" s="1">
        <v>8.8468968703473039E-2</v>
      </c>
      <c r="L1953" s="1">
        <v>95.903928646338244</v>
      </c>
      <c r="M1953" s="1">
        <v>777.09510163949744</v>
      </c>
      <c r="N1953" s="1">
        <v>-14.41686180557147</v>
      </c>
      <c r="O1953" s="1">
        <v>5.4807055648773556E-7</v>
      </c>
    </row>
    <row r="1954" spans="1:15" x14ac:dyDescent="0.25">
      <c r="A1954">
        <v>4243.5</v>
      </c>
      <c r="B1954" s="1">
        <v>0.1</v>
      </c>
      <c r="C1954" s="1">
        <v>7.7982994680506899</v>
      </c>
      <c r="D1954" s="1">
        <v>556.80000000000007</v>
      </c>
      <c r="E1954" s="1">
        <v>1333.7421430941188</v>
      </c>
      <c r="F1954" s="1">
        <v>579.77835676819757</v>
      </c>
      <c r="G1954" s="1">
        <v>4703.0059216885247</v>
      </c>
      <c r="H1954" s="1">
        <v>2.8159999999999998E-2</v>
      </c>
      <c r="I1954" s="1">
        <v>504.15509284191103</v>
      </c>
      <c r="J1954" s="1">
        <v>66.687107154705942</v>
      </c>
      <c r="K1954" s="1">
        <v>8.8456803112201887E-2</v>
      </c>
      <c r="L1954" s="1">
        <v>95.917732108819635</v>
      </c>
      <c r="M1954" s="1">
        <v>779.82994680505726</v>
      </c>
      <c r="N1954" s="1">
        <v>-14.419971805571469</v>
      </c>
      <c r="O1954" s="1">
        <v>5.4636870480812719E-7</v>
      </c>
    </row>
    <row r="1955" spans="1:15" x14ac:dyDescent="0.25">
      <c r="A1955">
        <v>4251.32</v>
      </c>
      <c r="B1955" s="1">
        <v>0.1</v>
      </c>
      <c r="C1955" s="1">
        <v>7.8258288667374103</v>
      </c>
      <c r="D1955" s="1">
        <v>556.9</v>
      </c>
      <c r="E1955" s="1">
        <v>1340.7760809381664</v>
      </c>
      <c r="F1955" s="1">
        <v>582.73664746324812</v>
      </c>
      <c r="G1955" s="1">
        <v>4716.4136823506187</v>
      </c>
      <c r="H1955" s="1">
        <v>2.8159999999999998E-2</v>
      </c>
      <c r="I1955" s="1">
        <v>506.7275195332594</v>
      </c>
      <c r="J1955" s="1">
        <v>67.038804046908325</v>
      </c>
      <c r="K1955" s="1">
        <v>8.8444642903518805E-2</v>
      </c>
      <c r="L1955" s="1">
        <v>95.931533258869649</v>
      </c>
      <c r="M1955" s="1">
        <v>782.58288667375382</v>
      </c>
      <c r="N1955" s="1">
        <v>-14.423081805571469</v>
      </c>
      <c r="O1955" s="1">
        <v>5.4467213766552796E-7</v>
      </c>
    </row>
    <row r="1956" spans="1:15" x14ac:dyDescent="0.25">
      <c r="A1956">
        <v>4259.18</v>
      </c>
      <c r="B1956" s="1">
        <v>0.1</v>
      </c>
      <c r="C1956" s="1">
        <v>7.8535410934965304</v>
      </c>
      <c r="D1956" s="1">
        <v>557</v>
      </c>
      <c r="E1956" s="1">
        <v>1347.8700864639759</v>
      </c>
      <c r="F1956" s="1">
        <v>585.71933429406715</v>
      </c>
      <c r="G1956" s="1">
        <v>4729.8923830647163</v>
      </c>
      <c r="H1956" s="1">
        <v>2.8159999999999998E-2</v>
      </c>
      <c r="I1956" s="1">
        <v>509.32116025571065</v>
      </c>
      <c r="J1956" s="1">
        <v>67.393504323198798</v>
      </c>
      <c r="K1956" s="1">
        <v>8.8432488039208071E-2</v>
      </c>
      <c r="L1956" s="1">
        <v>95.945332136404787</v>
      </c>
      <c r="M1956" s="1">
        <v>785.35410934964602</v>
      </c>
      <c r="N1956" s="1">
        <v>-14.426191805571472</v>
      </c>
      <c r="O1956" s="1">
        <v>5.4298083865055569E-7</v>
      </c>
    </row>
    <row r="1957" spans="1:15" x14ac:dyDescent="0.25">
      <c r="A1957">
        <v>4267.0600000000004</v>
      </c>
      <c r="B1957" s="1">
        <v>0.1</v>
      </c>
      <c r="C1957" s="1">
        <v>7.8814380563168935</v>
      </c>
      <c r="D1957" s="1">
        <v>557.1</v>
      </c>
      <c r="E1957" s="1">
        <v>1355.0248879048877</v>
      </c>
      <c r="F1957" s="1">
        <v>588.7267028591599</v>
      </c>
      <c r="G1957" s="1">
        <v>4743.4426317898842</v>
      </c>
      <c r="H1957" s="1">
        <v>2.8159999999999998E-2</v>
      </c>
      <c r="I1957" s="1">
        <v>511.93626335579131</v>
      </c>
      <c r="J1957" s="1">
        <v>67.751244395244385</v>
      </c>
      <c r="K1957" s="1">
        <v>8.842033848075756E-2</v>
      </c>
      <c r="L1957" s="1">
        <v>95.9591287817249</v>
      </c>
      <c r="M1957" s="1">
        <v>788.14380563171653</v>
      </c>
      <c r="N1957" s="1">
        <v>-14.429301805571471</v>
      </c>
      <c r="O1957" s="1">
        <v>5.4129479140478779E-7</v>
      </c>
    </row>
    <row r="1958" spans="1:15" x14ac:dyDescent="0.25">
      <c r="A1958">
        <v>4274.97</v>
      </c>
      <c r="B1958" s="1">
        <v>0.1</v>
      </c>
      <c r="C1958" s="1">
        <v>7.9095216906273995</v>
      </c>
      <c r="D1958" s="1">
        <v>557.20000000000005</v>
      </c>
      <c r="E1958" s="1">
        <v>1362.2412250440696</v>
      </c>
      <c r="F1958" s="1">
        <v>591.7590431331671</v>
      </c>
      <c r="G1958" s="1">
        <v>4757.0650438830207</v>
      </c>
      <c r="H1958" s="1">
        <v>2.8159999999999998E-2</v>
      </c>
      <c r="I1958" s="1">
        <v>514.57308098536282</v>
      </c>
      <c r="J1958" s="1">
        <v>68.112061252203475</v>
      </c>
      <c r="K1958" s="1">
        <v>8.8408194189355138E-2</v>
      </c>
      <c r="L1958" s="1">
        <v>95.972923235517584</v>
      </c>
      <c r="M1958" s="1">
        <v>790.95216906271162</v>
      </c>
      <c r="N1958" s="1">
        <v>-14.432411805571471</v>
      </c>
      <c r="O1958" s="1">
        <v>5.3961397962059169E-7</v>
      </c>
    </row>
    <row r="1959" spans="1:15" x14ac:dyDescent="0.25">
      <c r="A1959">
        <v>4282.91</v>
      </c>
      <c r="B1959" s="1">
        <v>0.1</v>
      </c>
      <c r="C1959" s="1">
        <v>7.9377939598019935</v>
      </c>
      <c r="D1959" s="1">
        <v>557.30000000000007</v>
      </c>
      <c r="E1959" s="1">
        <v>1369.5198494434014</v>
      </c>
      <c r="F1959" s="1">
        <v>594.81664955021063</v>
      </c>
      <c r="G1959" s="1">
        <v>4770.7602422166337</v>
      </c>
      <c r="H1959" s="1">
        <v>2.8159999999999998E-2</v>
      </c>
      <c r="I1959" s="1">
        <v>517.23186917409635</v>
      </c>
      <c r="J1959" s="1">
        <v>68.475992472170077</v>
      </c>
      <c r="K1959" s="1">
        <v>8.8396055125883749E-2</v>
      </c>
      <c r="L1959" s="1">
        <v>95.986715538864388</v>
      </c>
      <c r="M1959" s="1">
        <v>793.77939598016383</v>
      </c>
      <c r="N1959" s="1">
        <v>-14.43552180557147</v>
      </c>
      <c r="O1959" s="1">
        <v>5.3793838704097457E-7</v>
      </c>
    </row>
    <row r="1960" spans="1:15" x14ac:dyDescent="0.25">
      <c r="A1960">
        <v>4290.87</v>
      </c>
      <c r="B1960" s="1">
        <v>0.1</v>
      </c>
      <c r="C1960" s="1">
        <v>7.966256855676189</v>
      </c>
      <c r="D1960" s="1">
        <v>557.4</v>
      </c>
      <c r="E1960" s="1">
        <v>1376.8615246756876</v>
      </c>
      <c r="F1960" s="1">
        <v>597.89982108917218</v>
      </c>
      <c r="G1960" s="1">
        <v>4784.5288572989639</v>
      </c>
      <c r="H1960" s="1">
        <v>2.8159999999999998E-2</v>
      </c>
      <c r="I1960" s="1">
        <v>519.91288790362808</v>
      </c>
      <c r="J1960" s="1">
        <v>68.843076233784387</v>
      </c>
      <c r="K1960" s="1">
        <v>8.8383921250917361E-2</v>
      </c>
      <c r="L1960" s="1">
        <v>96.00050573324576</v>
      </c>
      <c r="M1960" s="1">
        <v>796.62568556759652</v>
      </c>
      <c r="N1960" s="1">
        <v>-14.43863180557147</v>
      </c>
      <c r="O1960" s="1">
        <v>5.3626799745942433E-7</v>
      </c>
    </row>
    <row r="1961" spans="1:15" x14ac:dyDescent="0.25">
      <c r="A1961">
        <v>4298.87</v>
      </c>
      <c r="B1961" s="1">
        <v>0.1</v>
      </c>
      <c r="C1961" s="1">
        <v>7.9949123990729278</v>
      </c>
      <c r="D1961" s="1">
        <v>557.5</v>
      </c>
      <c r="E1961" s="1">
        <v>1384.2670265638012</v>
      </c>
      <c r="F1961" s="1">
        <v>601.00886136087945</v>
      </c>
      <c r="G1961" s="1">
        <v>4798.3715273964754</v>
      </c>
      <c r="H1961" s="1">
        <v>2.8159999999999998E-2</v>
      </c>
      <c r="I1961" s="1">
        <v>522.61640118337345</v>
      </c>
      <c r="J1961" s="1">
        <v>69.213351328190058</v>
      </c>
      <c r="K1961" s="1">
        <v>8.8371792524716247E-2</v>
      </c>
      <c r="L1961" s="1">
        <v>96.014293860546999</v>
      </c>
      <c r="M1961" s="1">
        <v>799.49123990727458</v>
      </c>
      <c r="N1961" s="1">
        <v>-14.441741805571469</v>
      </c>
      <c r="O1961" s="1">
        <v>5.3460279471975312E-7</v>
      </c>
    </row>
    <row r="1962" spans="1:15" x14ac:dyDescent="0.25">
      <c r="A1962">
        <v>4306.8900000000003</v>
      </c>
      <c r="B1962" s="1">
        <v>0.1</v>
      </c>
      <c r="C1962" s="1">
        <v>8.0237626403424382</v>
      </c>
      <c r="D1962" s="1">
        <v>557.6</v>
      </c>
      <c r="E1962" s="1">
        <v>1391.7371434238212</v>
      </c>
      <c r="F1962" s="1">
        <v>604.14407869732611</v>
      </c>
      <c r="G1962" s="1">
        <v>4812.2888986587895</v>
      </c>
      <c r="H1962" s="1">
        <v>2.8159999999999998E-2</v>
      </c>
      <c r="I1962" s="1">
        <v>525.3426771281097</v>
      </c>
      <c r="J1962" s="1">
        <v>69.586857171191056</v>
      </c>
      <c r="K1962" s="1">
        <v>8.8359668907222813E-2</v>
      </c>
      <c r="L1962" s="1">
        <v>96.028079963063433</v>
      </c>
      <c r="M1962" s="1">
        <v>802.37626403422837</v>
      </c>
      <c r="N1962" s="1">
        <v>-14.444851805571469</v>
      </c>
      <c r="O1962" s="1">
        <v>5.3294276271594022E-7</v>
      </c>
    </row>
    <row r="1963" spans="1:15" x14ac:dyDescent="0.25">
      <c r="A1963">
        <v>4314.9399999999996</v>
      </c>
      <c r="B1963" s="1">
        <v>0.1</v>
      </c>
      <c r="C1963" s="1">
        <v>8.05280968156627</v>
      </c>
      <c r="D1963" s="1">
        <v>557.70000000000005</v>
      </c>
      <c r="E1963" s="1">
        <v>1399.2726800816868</v>
      </c>
      <c r="F1963" s="1">
        <v>607.30578688996502</v>
      </c>
      <c r="G1963" s="1">
        <v>4826.2816254219488</v>
      </c>
      <c r="H1963" s="1">
        <v>2.8159999999999998E-2</v>
      </c>
      <c r="I1963" s="1">
        <v>528.09198859996968</v>
      </c>
      <c r="J1963" s="1">
        <v>69.963634004084341</v>
      </c>
      <c r="K1963" s="1">
        <v>8.8347550355812501E-2</v>
      </c>
      <c r="L1963" s="1">
        <v>96.041864086059434</v>
      </c>
      <c r="M1963" s="1">
        <v>805.28096815660319</v>
      </c>
      <c r="N1963" s="1">
        <v>-14.447961805571472</v>
      </c>
      <c r="O1963" s="1">
        <v>5.3128788539197561E-7</v>
      </c>
    </row>
    <row r="1964" spans="1:15" x14ac:dyDescent="0.25">
      <c r="A1964">
        <v>4323.03</v>
      </c>
      <c r="B1964" s="1">
        <v>0.1</v>
      </c>
      <c r="C1964" s="1">
        <v>8.0820555921682846</v>
      </c>
      <c r="D1964" s="1">
        <v>557.80000000000007</v>
      </c>
      <c r="E1964" s="1">
        <v>1406.8744433681336</v>
      </c>
      <c r="F1964" s="1">
        <v>610.49430331272674</v>
      </c>
      <c r="G1964" s="1">
        <v>4840.3503698170462</v>
      </c>
      <c r="H1964" s="1">
        <v>2.8159999999999998E-2</v>
      </c>
      <c r="I1964" s="1">
        <v>530.86461157628423</v>
      </c>
      <c r="J1964" s="1">
        <v>70.343722168406686</v>
      </c>
      <c r="K1964" s="1">
        <v>8.8335436833746853E-2</v>
      </c>
      <c r="L1964" s="1">
        <v>96.055646268153723</v>
      </c>
      <c r="M1964" s="1">
        <v>808.20555921682171</v>
      </c>
      <c r="N1964" s="1">
        <v>-14.45107180557147</v>
      </c>
      <c r="O1964" s="1">
        <v>5.2963814674171093E-7</v>
      </c>
    </row>
    <row r="1965" spans="1:15" x14ac:dyDescent="0.25">
      <c r="A1965">
        <v>4331.1400000000003</v>
      </c>
      <c r="B1965" s="1">
        <v>0.1</v>
      </c>
      <c r="C1965" s="1">
        <v>8.111502534417415</v>
      </c>
      <c r="D1965" s="1">
        <v>557.9</v>
      </c>
      <c r="E1965" s="1">
        <v>1414.5432640667366</v>
      </c>
      <c r="F1965" s="1">
        <v>613.70995101987546</v>
      </c>
      <c r="G1965" s="1">
        <v>4854.4958024181788</v>
      </c>
      <c r="H1965" s="1">
        <v>2.8159999999999998E-2</v>
      </c>
      <c r="I1965" s="1">
        <v>533.66082697380489</v>
      </c>
      <c r="J1965" s="1">
        <v>70.727163203336829</v>
      </c>
      <c r="K1965" s="1">
        <v>8.832332829827895E-2</v>
      </c>
      <c r="L1965" s="1">
        <v>96.069426554848718</v>
      </c>
      <c r="M1965" s="1">
        <v>811.15025344170135</v>
      </c>
      <c r="N1965" s="1">
        <v>-14.454181805571469</v>
      </c>
      <c r="O1965" s="1">
        <v>5.2799353080869422E-7</v>
      </c>
    </row>
    <row r="1966" spans="1:15" x14ac:dyDescent="0.25">
      <c r="A1966">
        <v>4339.28</v>
      </c>
      <c r="B1966" s="1">
        <v>0.1</v>
      </c>
      <c r="C1966" s="1">
        <v>8.1411526824179496</v>
      </c>
      <c r="D1966" s="1">
        <v>558</v>
      </c>
      <c r="E1966" s="1">
        <v>1422.2799830304832</v>
      </c>
      <c r="F1966" s="1">
        <v>616.95305816471466</v>
      </c>
      <c r="G1966" s="1">
        <v>4868.7186022079686</v>
      </c>
      <c r="H1966" s="1">
        <v>2.8159999999999998E-2</v>
      </c>
      <c r="I1966" s="1">
        <v>536.48092014323026</v>
      </c>
      <c r="J1966" s="1">
        <v>71.113999151524169</v>
      </c>
      <c r="K1966" s="1">
        <v>8.8311224708029837E-2</v>
      </c>
      <c r="L1966" s="1">
        <v>96.083204990141709</v>
      </c>
      <c r="M1966" s="1">
        <v>814.1152682417669</v>
      </c>
      <c r="N1966" s="1">
        <v>-14.457291805571471</v>
      </c>
      <c r="O1966" s="1">
        <v>5.2635402168602292E-7</v>
      </c>
    </row>
    <row r="1967" spans="1:15" x14ac:dyDescent="0.25">
      <c r="A1967">
        <v>4347.45</v>
      </c>
      <c r="B1967" s="1">
        <v>0.1</v>
      </c>
      <c r="C1967" s="1">
        <v>8.1710082426870656</v>
      </c>
      <c r="D1967" s="1">
        <v>558.1</v>
      </c>
      <c r="E1967" s="1">
        <v>1430.0854549174512</v>
      </c>
      <c r="F1967" s="1">
        <v>620.22395809969578</v>
      </c>
      <c r="G1967" s="1">
        <v>4883.0194567156204</v>
      </c>
      <c r="H1967" s="1">
        <v>2.8159999999999998E-2</v>
      </c>
      <c r="I1967" s="1">
        <v>539.32518095625733</v>
      </c>
      <c r="J1967" s="1">
        <v>71.504272745872569</v>
      </c>
      <c r="K1967" s="1">
        <v>8.8299126021278734E-2</v>
      </c>
      <c r="L1967" s="1">
        <v>96.096981618469783</v>
      </c>
      <c r="M1967" s="1">
        <v>817.1008242687094</v>
      </c>
      <c r="N1967" s="1">
        <v>-14.46040180557147</v>
      </c>
      <c r="O1967" s="1">
        <v>5.2471960351618822E-7</v>
      </c>
    </row>
    <row r="1968" spans="1:15" x14ac:dyDescent="0.25">
      <c r="A1968">
        <v>4355.6499999999996</v>
      </c>
      <c r="B1968" s="1">
        <v>0.1</v>
      </c>
      <c r="C1968" s="1">
        <v>8.201071454771947</v>
      </c>
      <c r="D1968" s="1">
        <v>558.20000000000005</v>
      </c>
      <c r="E1968" s="1">
        <v>1437.9605484720503</v>
      </c>
      <c r="F1968" s="1">
        <v>623.52298947886834</v>
      </c>
      <c r="G1968" s="1">
        <v>4897.3990621577805</v>
      </c>
      <c r="H1968" s="1">
        <v>2.8159999999999998E-2</v>
      </c>
      <c r="I1968" s="1">
        <v>542.19390389466832</v>
      </c>
      <c r="J1968" s="1">
        <v>71.898027423602514</v>
      </c>
      <c r="K1968" s="1">
        <v>8.8287032195958265E-2</v>
      </c>
      <c r="L1968" s="1">
        <v>96.110756484715921</v>
      </c>
      <c r="M1968" s="1">
        <v>820.10714547723182</v>
      </c>
      <c r="N1968" s="1">
        <v>-14.46351180557147</v>
      </c>
      <c r="O1968" s="1">
        <v>5.2309026049092118E-7</v>
      </c>
    </row>
    <row r="1969" spans="1:15" x14ac:dyDescent="0.25">
      <c r="A1969">
        <v>4363.88</v>
      </c>
      <c r="B1969" s="1">
        <v>0.1</v>
      </c>
      <c r="C1969" s="1">
        <v>8.2313445918835786</v>
      </c>
      <c r="D1969" s="1">
        <v>558.30000000000007</v>
      </c>
      <c r="E1969" s="1">
        <v>1445.9061468149237</v>
      </c>
      <c r="F1969" s="1">
        <v>626.85049636280769</v>
      </c>
      <c r="G1969" s="1">
        <v>4911.8581235823049</v>
      </c>
      <c r="H1969" s="1">
        <v>2.8159999999999998E-2</v>
      </c>
      <c r="I1969" s="1">
        <v>545.08738814157209</v>
      </c>
      <c r="J1969" s="1">
        <v>72.295307340746191</v>
      </c>
      <c r="K1969" s="1">
        <v>8.8274943189648639E-2</v>
      </c>
      <c r="L1969" s="1">
        <v>96.124529634216074</v>
      </c>
      <c r="M1969" s="1">
        <v>823.13445918834987</v>
      </c>
      <c r="N1969" s="1">
        <v>-14.466621805571469</v>
      </c>
      <c r="O1969" s="1">
        <v>5.2146597685104072E-7</v>
      </c>
    </row>
    <row r="1970" spans="1:15" x14ac:dyDescent="0.25">
      <c r="A1970">
        <v>4372.1400000000003</v>
      </c>
      <c r="B1970" s="1">
        <v>0.1</v>
      </c>
      <c r="C1970" s="1">
        <v>8.261829961541574</v>
      </c>
      <c r="D1970" s="1">
        <v>558.4</v>
      </c>
      <c r="E1970" s="1">
        <v>1453.9231477381786</v>
      </c>
      <c r="F1970" s="1">
        <v>630.20682832596788</v>
      </c>
      <c r="G1970" s="1">
        <v>4926.397355014964</v>
      </c>
      <c r="H1970" s="1">
        <v>2.8159999999999998E-2</v>
      </c>
      <c r="I1970" s="1">
        <v>548.0059376747547</v>
      </c>
      <c r="J1970" s="1">
        <v>72.696157386908936</v>
      </c>
      <c r="K1970" s="1">
        <v>8.8262858959572518E-2</v>
      </c>
      <c r="L1970" s="1">
        <v>96.138301112765575</v>
      </c>
      <c r="M1970" s="1">
        <v>826.18299615414799</v>
      </c>
      <c r="N1970" s="1">
        <v>-14.469731805571472</v>
      </c>
      <c r="O1970" s="1">
        <v>5.1984673688629822E-7</v>
      </c>
    </row>
    <row r="1971" spans="1:15" x14ac:dyDescent="0.25">
      <c r="A1971">
        <v>4380.4399999999996</v>
      </c>
      <c r="B1971" s="1">
        <v>0.1</v>
      </c>
      <c r="C1971" s="1">
        <v>8.2925299062370268</v>
      </c>
      <c r="D1971" s="1">
        <v>558.5</v>
      </c>
      <c r="E1971" s="1">
        <v>1462.0124640074116</v>
      </c>
      <c r="F1971" s="1">
        <v>633.59234056662535</v>
      </c>
      <c r="G1971" s="1">
        <v>4941.0174796091851</v>
      </c>
      <c r="H1971" s="1">
        <v>2.8159999999999998E-2</v>
      </c>
      <c r="I1971" s="1">
        <v>550.94986136228295</v>
      </c>
      <c r="J1971" s="1">
        <v>73.100623200370578</v>
      </c>
      <c r="K1971" s="1">
        <v>8.8250779462590412E-2</v>
      </c>
      <c r="L1971" s="1">
        <v>96.152070966625075</v>
      </c>
      <c r="M1971" s="1">
        <v>829.25299062371778</v>
      </c>
      <c r="N1971" s="1">
        <v>-14.472841805571472</v>
      </c>
      <c r="O1971" s="1">
        <v>5.1823252493523406E-7</v>
      </c>
    </row>
    <row r="1972" spans="1:15" x14ac:dyDescent="0.25">
      <c r="A1972">
        <v>4388.76</v>
      </c>
      <c r="B1972" s="1">
        <v>0.1</v>
      </c>
      <c r="C1972" s="1">
        <v>8.3234468041101515</v>
      </c>
      <c r="D1972" s="1">
        <v>558.6</v>
      </c>
      <c r="E1972" s="1">
        <v>1470.1750236731925</v>
      </c>
      <c r="F1972" s="1">
        <v>637.00739401945577</v>
      </c>
      <c r="G1972" s="1">
        <v>4955.7192297989022</v>
      </c>
      <c r="H1972" s="1">
        <v>2.8159999999999998E-2</v>
      </c>
      <c r="I1972" s="1">
        <v>553.9194730603964</v>
      </c>
      <c r="J1972" s="1">
        <v>73.508751183659626</v>
      </c>
      <c r="K1972" s="1">
        <v>8.8238704655194414E-2</v>
      </c>
      <c r="L1972" s="1">
        <v>96.165839242528079</v>
      </c>
      <c r="M1972" s="1">
        <v>832.34468041100627</v>
      </c>
      <c r="N1972" s="1">
        <v>-14.475951805571471</v>
      </c>
      <c r="O1972" s="1">
        <v>5.1662332538501445E-7</v>
      </c>
    </row>
    <row r="1973" spans="1:15" x14ac:dyDescent="0.25">
      <c r="A1973">
        <v>4397.1099999999997</v>
      </c>
      <c r="B1973" s="1">
        <v>0.1</v>
      </c>
      <c r="C1973" s="1">
        <v>8.3545830696437395</v>
      </c>
      <c r="D1973" s="1">
        <v>558.70000000000005</v>
      </c>
      <c r="E1973" s="1">
        <v>1478.411770389343</v>
      </c>
      <c r="F1973" s="1">
        <v>640.45235547081154</v>
      </c>
      <c r="G1973" s="1">
        <v>4970.5033474545853</v>
      </c>
      <c r="H1973" s="1">
        <v>2.8159999999999998E-2</v>
      </c>
      <c r="I1973" s="1">
        <v>556.91509171374923</v>
      </c>
      <c r="J1973" s="1">
        <v>73.920588519467159</v>
      </c>
      <c r="K1973" s="1">
        <v>8.8226634493502834E-2</v>
      </c>
      <c r="L1973" s="1">
        <v>96.179605987687751</v>
      </c>
      <c r="M1973" s="1">
        <v>835.45830696439225</v>
      </c>
      <c r="N1973" s="1">
        <v>-14.479061805571471</v>
      </c>
      <c r="O1973" s="1">
        <v>5.1501912267128765E-7</v>
      </c>
    </row>
    <row r="1974" spans="1:15" x14ac:dyDescent="0.25">
      <c r="A1974">
        <v>4405.5</v>
      </c>
      <c r="B1974" s="1">
        <v>0.1</v>
      </c>
      <c r="C1974" s="1">
        <v>8.3859411543726701</v>
      </c>
      <c r="D1974" s="1">
        <v>558.80000000000007</v>
      </c>
      <c r="E1974" s="1">
        <v>1486.7236637380099</v>
      </c>
      <c r="F1974" s="1">
        <v>643.92759767676444</v>
      </c>
      <c r="G1974" s="1">
        <v>4985.3705840425246</v>
      </c>
      <c r="H1974" s="1">
        <v>2.8159999999999998E-2</v>
      </c>
      <c r="I1974" s="1">
        <v>559.93704145805623</v>
      </c>
      <c r="J1974" s="1">
        <v>74.336183186900499</v>
      </c>
      <c r="K1974" s="1">
        <v>8.8214568933254967E-2</v>
      </c>
      <c r="L1974" s="1">
        <v>96.19337124980342</v>
      </c>
      <c r="M1974" s="1">
        <v>838.5941154372631</v>
      </c>
      <c r="N1974" s="1">
        <v>-14.48217180557147</v>
      </c>
      <c r="O1974" s="1">
        <v>5.1341990127803222E-7</v>
      </c>
    </row>
    <row r="1975" spans="1:15" x14ac:dyDescent="0.25">
      <c r="A1975">
        <v>4413.92</v>
      </c>
      <c r="B1975" s="1">
        <v>0.1</v>
      </c>
      <c r="C1975" s="1">
        <v>8.4175235476112107</v>
      </c>
      <c r="D1975" s="1">
        <v>558.9</v>
      </c>
      <c r="E1975" s="1">
        <v>1495.1116795653975</v>
      </c>
      <c r="F1975" s="1">
        <v>647.4334994840217</v>
      </c>
      <c r="G1975" s="1">
        <v>5000.32170078747</v>
      </c>
      <c r="H1975" s="1">
        <v>2.8159999999999998E-2</v>
      </c>
      <c r="I1975" s="1">
        <v>562.98565172523627</v>
      </c>
      <c r="J1975" s="1">
        <v>74.755583978269883</v>
      </c>
      <c r="K1975" s="1">
        <v>8.8202507929804719E-2</v>
      </c>
      <c r="L1975" s="1">
        <v>96.207135077068514</v>
      </c>
      <c r="M1975" s="1">
        <v>841.75235476113812</v>
      </c>
      <c r="N1975" s="1">
        <v>-14.48528180557147</v>
      </c>
      <c r="O1975" s="1">
        <v>5.1182564573740653E-7</v>
      </c>
    </row>
    <row r="1976" spans="1:15" x14ac:dyDescent="0.25">
      <c r="A1976">
        <v>4422.37</v>
      </c>
      <c r="B1976" s="1">
        <v>0.1</v>
      </c>
      <c r="C1976" s="1">
        <v>8.4493327771973803</v>
      </c>
      <c r="D1976" s="1">
        <v>559</v>
      </c>
      <c r="E1976" s="1">
        <v>1503.5768103230928</v>
      </c>
      <c r="F1976" s="1">
        <v>650.97044595378168</v>
      </c>
      <c r="G1976" s="1">
        <v>5015.357468838688</v>
      </c>
      <c r="H1976" s="1">
        <v>2.8159999999999998E-2</v>
      </c>
      <c r="I1976" s="1">
        <v>566.0612573511147</v>
      </c>
      <c r="J1976" s="1">
        <v>75.178840516154636</v>
      </c>
      <c r="K1976" s="1">
        <v>8.8190451438115436E-2</v>
      </c>
      <c r="L1976" s="1">
        <v>96.220897518177011</v>
      </c>
      <c r="M1976" s="1">
        <v>844.93327771970144</v>
      </c>
      <c r="N1976" s="1">
        <v>-14.488391805571469</v>
      </c>
      <c r="O1976" s="1">
        <v>5.1023634062959907E-7</v>
      </c>
    </row>
    <row r="1977" spans="1:15" x14ac:dyDescent="0.25">
      <c r="A1977">
        <v>4430.8500000000004</v>
      </c>
      <c r="B1977" s="1">
        <v>0.1</v>
      </c>
      <c r="C1977" s="1">
        <v>8.4813714102550435</v>
      </c>
      <c r="D1977" s="1">
        <v>559.1</v>
      </c>
      <c r="E1977" s="1">
        <v>1512.1200654207189</v>
      </c>
      <c r="F1977" s="1">
        <v>654.53882848861156</v>
      </c>
      <c r="G1977" s="1">
        <v>5030.4786694395389</v>
      </c>
      <c r="H1977" s="1">
        <v>2.8159999999999998E-2</v>
      </c>
      <c r="I1977" s="1">
        <v>569.16419868574928</v>
      </c>
      <c r="J1977" s="1">
        <v>75.606003271035945</v>
      </c>
      <c r="K1977" s="1">
        <v>8.8178399412753239E-2</v>
      </c>
      <c r="L1977" s="1">
        <v>96.234658622331679</v>
      </c>
      <c r="M1977" s="1">
        <v>848.13714102547237</v>
      </c>
      <c r="N1977" s="1">
        <v>-14.491501805571472</v>
      </c>
      <c r="O1977" s="1">
        <v>5.0865197058267771E-7</v>
      </c>
    </row>
    <row r="1978" spans="1:15" x14ac:dyDescent="0.25">
      <c r="A1978">
        <v>4439.3599999999997</v>
      </c>
      <c r="B1978" s="1">
        <v>0.1</v>
      </c>
      <c r="C1978" s="1">
        <v>8.5136420539742215</v>
      </c>
      <c r="D1978" s="1">
        <v>559.20000000000005</v>
      </c>
      <c r="E1978" s="1">
        <v>1520.7424715855122</v>
      </c>
      <c r="F1978" s="1">
        <v>658.13904496242537</v>
      </c>
      <c r="G1978" s="1">
        <v>5045.6860941006544</v>
      </c>
      <c r="H1978" s="1">
        <v>2.8159999999999998E-2</v>
      </c>
      <c r="I1978" s="1">
        <v>572.29482170645701</v>
      </c>
      <c r="J1978" s="1">
        <v>76.037123579275615</v>
      </c>
      <c r="K1978" s="1">
        <v>8.8166351807881446E-2</v>
      </c>
      <c r="L1978" s="1">
        <v>96.248418439251097</v>
      </c>
      <c r="M1978" s="1">
        <v>851.36420539738538</v>
      </c>
      <c r="N1978" s="1">
        <v>-14.494611805571472</v>
      </c>
      <c r="O1978" s="1">
        <v>5.0707252027244818E-7</v>
      </c>
    </row>
    <row r="1979" spans="1:15" x14ac:dyDescent="0.25">
      <c r="A1979">
        <v>4447.91</v>
      </c>
      <c r="B1979" s="1">
        <v>0.1</v>
      </c>
      <c r="C1979" s="1">
        <v>8.5461473564109642</v>
      </c>
      <c r="D1979" s="1">
        <v>559.30000000000007</v>
      </c>
      <c r="E1979" s="1">
        <v>1529.4450732317609</v>
      </c>
      <c r="F1979" s="1">
        <v>661.7714998536751</v>
      </c>
      <c r="G1979" s="1">
        <v>5060.9805447768076</v>
      </c>
      <c r="H1979" s="1">
        <v>2.8159999999999998E-2</v>
      </c>
      <c r="I1979" s="1">
        <v>575.4534781336306</v>
      </c>
      <c r="J1979" s="1">
        <v>76.472253661588056</v>
      </c>
      <c r="K1979" s="1">
        <v>8.8154308577254259E-2</v>
      </c>
      <c r="L1979" s="1">
        <v>96.262177019177486</v>
      </c>
      <c r="M1979" s="1">
        <v>854.61473564109838</v>
      </c>
      <c r="N1979" s="1">
        <v>-14.497721805571471</v>
      </c>
      <c r="O1979" s="1">
        <v>5.0549797442229487E-7</v>
      </c>
    </row>
    <row r="1980" spans="1:15" x14ac:dyDescent="0.25">
      <c r="A1980">
        <v>4456.49</v>
      </c>
      <c r="B1980" s="1">
        <v>0.1</v>
      </c>
      <c r="C1980" s="1">
        <v>8.578890007306077</v>
      </c>
      <c r="D1980" s="1">
        <v>559.4</v>
      </c>
      <c r="E1980" s="1">
        <v>1538.2289328405018</v>
      </c>
      <c r="F1980" s="1">
        <v>665.43660438182383</v>
      </c>
      <c r="G1980" s="1">
        <v>5076.3628340475798</v>
      </c>
      <c r="H1980" s="1">
        <v>2.8159999999999998E-2</v>
      </c>
      <c r="I1980" s="1">
        <v>578.64052554941202</v>
      </c>
      <c r="J1980" s="1">
        <v>76.911446642025098</v>
      </c>
      <c r="K1980" s="1">
        <v>8.8142269674210197E-2</v>
      </c>
      <c r="L1980" s="1">
        <v>96.275934412884837</v>
      </c>
      <c r="M1980" s="1">
        <v>857.88900073057448</v>
      </c>
      <c r="N1980" s="1">
        <v>-14.500831805571471</v>
      </c>
      <c r="O1980" s="1">
        <v>5.0392831780304088E-7</v>
      </c>
    </row>
    <row r="1981" spans="1:15" x14ac:dyDescent="0.25">
      <c r="A1981">
        <v>4465.1000000000004</v>
      </c>
      <c r="B1981" s="1">
        <v>0.1</v>
      </c>
      <c r="C1981" s="1">
        <v>8.6118727389239602</v>
      </c>
      <c r="D1981" s="1">
        <v>559.5</v>
      </c>
      <c r="E1981" s="1">
        <v>1547.0951313473424</v>
      </c>
      <c r="F1981" s="1">
        <v>669.13477664720278</v>
      </c>
      <c r="G1981" s="1">
        <v>5091.8337853019066</v>
      </c>
      <c r="H1981" s="1">
        <v>2.8159999999999998E-2</v>
      </c>
      <c r="I1981" s="1">
        <v>581.85632751930677</v>
      </c>
      <c r="J1981" s="1">
        <v>77.354756567367133</v>
      </c>
      <c r="K1981" s="1">
        <v>8.8130235051666034E-2</v>
      </c>
      <c r="L1981" s="1">
        <v>96.289690671686515</v>
      </c>
      <c r="M1981" s="1">
        <v>861.18727389239211</v>
      </c>
      <c r="N1981" s="1">
        <v>-14.50394180557147</v>
      </c>
      <c r="O1981" s="1">
        <v>5.0236353523279802E-7</v>
      </c>
    </row>
    <row r="1982" spans="1:15" x14ac:dyDescent="0.25">
      <c r="A1982">
        <v>4473.74</v>
      </c>
      <c r="B1982" s="1">
        <v>0.1</v>
      </c>
      <c r="C1982" s="1">
        <v>8.6450983269126702</v>
      </c>
      <c r="D1982" s="1">
        <v>559.6</v>
      </c>
      <c r="E1982" s="1">
        <v>1556.0447685414758</v>
      </c>
      <c r="F1982" s="1">
        <v>672.86644177436904</v>
      </c>
      <c r="G1982" s="1">
        <v>5107.3942329266201</v>
      </c>
      <c r="H1982" s="1">
        <v>2.8159999999999998E-2</v>
      </c>
      <c r="I1982" s="1">
        <v>585.10125371684285</v>
      </c>
      <c r="J1982" s="1">
        <v>77.802238427073803</v>
      </c>
      <c r="K1982" s="1">
        <v>8.811820466211015E-2</v>
      </c>
      <c r="L1982" s="1">
        <v>96.303445847443598</v>
      </c>
      <c r="M1982" s="1">
        <v>864.50983269123753</v>
      </c>
      <c r="N1982" s="1">
        <v>-14.50705180557147</v>
      </c>
      <c r="O1982" s="1">
        <v>5.0080361157682055E-7</v>
      </c>
    </row>
    <row r="1983" spans="1:15" x14ac:dyDescent="0.25">
      <c r="A1983">
        <v>4482.42</v>
      </c>
      <c r="B1983" s="1">
        <v>0.1</v>
      </c>
      <c r="C1983" s="1">
        <v>8.6785695911839369</v>
      </c>
      <c r="D1983" s="1">
        <v>559.70000000000005</v>
      </c>
      <c r="E1983" s="1">
        <v>1565.0789634757523</v>
      </c>
      <c r="F1983" s="1">
        <v>676.63203205902573</v>
      </c>
      <c r="G1983" s="1">
        <v>5123.0450224990673</v>
      </c>
      <c r="H1983" s="1">
        <v>2.8159999999999998E-2</v>
      </c>
      <c r="I1983" s="1">
        <v>588.37568005132687</v>
      </c>
      <c r="J1983" s="1">
        <v>78.25394817378762</v>
      </c>
      <c r="K1983" s="1">
        <v>8.8106178457595385E-2</v>
      </c>
      <c r="L1983" s="1">
        <v>96.317199992573606</v>
      </c>
      <c r="M1983" s="1">
        <v>867.85695911839866</v>
      </c>
      <c r="N1983" s="1">
        <v>-14.510161805571469</v>
      </c>
      <c r="O1983" s="1">
        <v>4.9924853174735887E-7</v>
      </c>
    </row>
    <row r="1984" spans="1:15" x14ac:dyDescent="0.25">
      <c r="A1984">
        <v>4491.13</v>
      </c>
      <c r="B1984" s="1">
        <v>0.1</v>
      </c>
      <c r="C1984" s="1">
        <v>8.7122893968171056</v>
      </c>
      <c r="D1984" s="1">
        <v>559.80000000000007</v>
      </c>
      <c r="E1984" s="1">
        <v>1574.1988548847453</v>
      </c>
      <c r="F1984" s="1">
        <v>680.4319871186766</v>
      </c>
      <c r="G1984" s="1">
        <v>5138.7870109839505</v>
      </c>
      <c r="H1984" s="1">
        <v>2.8159999999999998E-2</v>
      </c>
      <c r="I1984" s="1">
        <v>591.67998879884942</v>
      </c>
      <c r="J1984" s="1">
        <v>78.709942744237267</v>
      </c>
      <c r="K1984" s="1">
        <v>8.8094156389732961E-2</v>
      </c>
      <c r="L1984" s="1">
        <v>96.330953160058229</v>
      </c>
      <c r="M1984" s="1">
        <v>871.22893968171411</v>
      </c>
      <c r="N1984" s="1">
        <v>-14.513271805571469</v>
      </c>
      <c r="O1984" s="1">
        <v>4.9769828070351298E-7</v>
      </c>
    </row>
    <row r="1985" spans="1:15" x14ac:dyDescent="0.25">
      <c r="A1985">
        <v>4499.88</v>
      </c>
      <c r="B1985" s="1">
        <v>0.1</v>
      </c>
      <c r="C1985" s="1">
        <v>8.7462606549814286</v>
      </c>
      <c r="D1985" s="1">
        <v>559.9</v>
      </c>
      <c r="E1985" s="1">
        <v>1583.4056016161392</v>
      </c>
      <c r="F1985" s="1">
        <v>684.26675404699517</v>
      </c>
      <c r="G1985" s="1">
        <v>5154.6210669344437</v>
      </c>
      <c r="H1985" s="1">
        <v>2.8159999999999998E-2</v>
      </c>
      <c r="I1985" s="1">
        <v>595.01456873651773</v>
      </c>
      <c r="J1985" s="1">
        <v>79.170280080806961</v>
      </c>
      <c r="K1985" s="1">
        <v>8.8082138409685165E-2</v>
      </c>
      <c r="L1985" s="1">
        <v>96.344705403452338</v>
      </c>
      <c r="M1985" s="1">
        <v>874.62606549815973</v>
      </c>
      <c r="N1985" s="1">
        <v>-14.51638180557147</v>
      </c>
      <c r="O1985" s="1">
        <v>4.9615284345108628E-7</v>
      </c>
    </row>
    <row r="1986" spans="1:15" x14ac:dyDescent="0.25">
      <c r="A1986">
        <v>4508.66</v>
      </c>
      <c r="B1986" s="1">
        <v>0.1</v>
      </c>
      <c r="C1986" s="1">
        <v>8.7804863238879207</v>
      </c>
      <c r="D1986" s="1">
        <v>560</v>
      </c>
      <c r="E1986" s="1">
        <v>1592.7003830738417</v>
      </c>
      <c r="F1986" s="1">
        <v>688.13678757222499</v>
      </c>
      <c r="G1986" s="1">
        <v>5170.548070697756</v>
      </c>
      <c r="H1986" s="1">
        <v>2.8159999999999998E-2</v>
      </c>
      <c r="I1986" s="1">
        <v>598.37981528019577</v>
      </c>
      <c r="J1986" s="1">
        <v>79.635019153692099</v>
      </c>
      <c r="K1986" s="1">
        <v>8.8070124468157943E-2</v>
      </c>
      <c r="L1986" s="1">
        <v>96.358456776893263</v>
      </c>
      <c r="M1986" s="1">
        <v>878.04863238879989</v>
      </c>
      <c r="N1986" s="1">
        <v>-14.519491805571471</v>
      </c>
      <c r="O1986" s="1">
        <v>4.9461220504244621E-7</v>
      </c>
    </row>
    <row r="1987" spans="1:15" x14ac:dyDescent="0.25">
      <c r="A1987">
        <v>4517.4799999999996</v>
      </c>
      <c r="B1987" s="1">
        <v>0.1</v>
      </c>
      <c r="C1987" s="1">
        <v>8.8149694097585289</v>
      </c>
      <c r="D1987" s="1">
        <v>560.1</v>
      </c>
      <c r="E1987" s="1">
        <v>1602.0843996701562</v>
      </c>
      <c r="F1987" s="1">
        <v>692.04255021951792</v>
      </c>
      <c r="G1987" s="1">
        <v>5186.5689146252207</v>
      </c>
      <c r="H1987" s="1">
        <v>2.8159999999999998E-2</v>
      </c>
      <c r="I1987" s="1">
        <v>601.77613062566797</v>
      </c>
      <c r="J1987" s="1">
        <v>80.104219983507818</v>
      </c>
      <c r="K1987" s="1">
        <v>8.8058114515394192E-2</v>
      </c>
      <c r="L1987" s="1">
        <v>96.372207335109124</v>
      </c>
      <c r="M1987" s="1">
        <v>881.49694097583051</v>
      </c>
      <c r="N1987" s="1">
        <v>-14.522601805571471</v>
      </c>
      <c r="O1987" s="1">
        <v>4.9307635057637041E-7</v>
      </c>
    </row>
    <row r="1988" spans="1:15" x14ac:dyDescent="0.25">
      <c r="A1988">
        <v>4526.33</v>
      </c>
      <c r="B1988" s="1">
        <v>0.1</v>
      </c>
      <c r="C1988" s="1">
        <v>8.8497129678227591</v>
      </c>
      <c r="D1988" s="1">
        <v>560.20000000000005</v>
      </c>
      <c r="E1988" s="1">
        <v>1611.5588732919405</v>
      </c>
      <c r="F1988" s="1">
        <v>695.98451247743048</v>
      </c>
      <c r="G1988" s="1">
        <v>5202.6845032870351</v>
      </c>
      <c r="H1988" s="1">
        <v>2.8159999999999998E-2</v>
      </c>
      <c r="I1988" s="1">
        <v>605.20392389341794</v>
      </c>
      <c r="J1988" s="1">
        <v>80.577943664597029</v>
      </c>
      <c r="K1988" s="1">
        <v>8.8046108501166287E-2</v>
      </c>
      <c r="L1988" s="1">
        <v>96.385957133428136</v>
      </c>
      <c r="M1988" s="1">
        <v>884.97129678225974</v>
      </c>
      <c r="N1988" s="1">
        <v>-14.52571180557147</v>
      </c>
      <c r="O1988" s="1">
        <v>4.915452651979091E-7</v>
      </c>
    </row>
    <row r="1989" spans="1:15" x14ac:dyDescent="0.25">
      <c r="A1989">
        <v>4535.21</v>
      </c>
      <c r="B1989" s="1">
        <v>0.1</v>
      </c>
      <c r="C1989" s="1">
        <v>8.8847201033403493</v>
      </c>
      <c r="D1989" s="1">
        <v>560.30000000000007</v>
      </c>
      <c r="E1989" s="1">
        <v>1621.1250477786266</v>
      </c>
      <c r="F1989" s="1">
        <v>699.96315296872604</v>
      </c>
      <c r="G1989" s="1">
        <v>5218.8957536917869</v>
      </c>
      <c r="H1989" s="1">
        <v>2.8159999999999998E-2</v>
      </c>
      <c r="I1989" s="1">
        <v>608.66361127715322</v>
      </c>
      <c r="J1989" s="1">
        <v>81.056252388931341</v>
      </c>
      <c r="K1989" s="1">
        <v>8.8034106374768481E-2</v>
      </c>
      <c r="L1989" s="1">
        <v>96.399706227788073</v>
      </c>
      <c r="M1989" s="1">
        <v>888.47201033404417</v>
      </c>
      <c r="N1989" s="1">
        <v>-14.52882180557147</v>
      </c>
      <c r="O1989" s="1">
        <v>4.9001893409823913E-7</v>
      </c>
    </row>
    <row r="1990" spans="1:15" x14ac:dyDescent="0.25">
      <c r="A1990">
        <v>4544.13</v>
      </c>
      <c r="B1990" s="1">
        <v>0.1</v>
      </c>
      <c r="C1990" s="1">
        <v>8.9199939726497046</v>
      </c>
      <c r="D1990" s="1">
        <v>560.4</v>
      </c>
      <c r="E1990" s="1">
        <v>1630.7841894140918</v>
      </c>
      <c r="F1990" s="1">
        <v>703.9789586255979</v>
      </c>
      <c r="G1990" s="1">
        <v>5235.2035955109086</v>
      </c>
      <c r="H1990" s="1">
        <v>2.8159999999999998E-2</v>
      </c>
      <c r="I1990" s="1">
        <v>612.1556161961721</v>
      </c>
      <c r="J1990" s="1">
        <v>81.539209470704591</v>
      </c>
      <c r="K1990" s="1">
        <v>8.8022108085008988E-2</v>
      </c>
      <c r="L1990" s="1">
        <v>96.413454674746148</v>
      </c>
      <c r="M1990" s="1">
        <v>891.99939726495359</v>
      </c>
      <c r="N1990" s="1">
        <v>-14.531931805571469</v>
      </c>
      <c r="O1990" s="1">
        <v>4.8849734251452196E-7</v>
      </c>
    </row>
    <row r="1991" spans="1:15" x14ac:dyDescent="0.25">
      <c r="A1991">
        <v>4553.09</v>
      </c>
      <c r="B1991" s="1">
        <v>0.1</v>
      </c>
      <c r="C1991" s="1">
        <v>8.9555377842394677</v>
      </c>
      <c r="D1991" s="1">
        <v>560.5</v>
      </c>
      <c r="E1991" s="1">
        <v>1640.5375874294582</v>
      </c>
      <c r="F1991" s="1">
        <v>708.03242486934005</v>
      </c>
      <c r="G1991" s="1">
        <v>5251.6089713081346</v>
      </c>
      <c r="H1991" s="1">
        <v>2.8159999999999998E-2</v>
      </c>
      <c r="I1991" s="1">
        <v>615.68036945160009</v>
      </c>
      <c r="J1991" s="1">
        <v>82.026879371472916</v>
      </c>
      <c r="K1991" s="1">
        <v>8.801011358020247E-2</v>
      </c>
      <c r="L1991" s="1">
        <v>96.427202531488248</v>
      </c>
      <c r="M1991" s="1">
        <v>895.55377842398229</v>
      </c>
      <c r="N1991" s="1">
        <v>-14.535041805571469</v>
      </c>
      <c r="O1991" s="1">
        <v>4.869804757297594E-7</v>
      </c>
    </row>
    <row r="1992" spans="1:15" x14ac:dyDescent="0.25">
      <c r="A1992">
        <v>4562.08</v>
      </c>
      <c r="B1992" s="1">
        <v>0.1</v>
      </c>
      <c r="C1992" s="1">
        <v>8.9913547998525161</v>
      </c>
      <c r="D1992" s="1">
        <v>560.6</v>
      </c>
      <c r="E1992" s="1">
        <v>1650.3865545202777</v>
      </c>
      <c r="F1992" s="1">
        <v>712.12405579475421</v>
      </c>
      <c r="G1992" s="1">
        <v>5268.1128367741567</v>
      </c>
      <c r="H1992" s="1">
        <v>2.8159999999999998E-2</v>
      </c>
      <c r="I1992" s="1">
        <v>619.23830938674291</v>
      </c>
      <c r="J1992" s="1">
        <v>82.519327726013898</v>
      </c>
      <c r="K1992" s="1">
        <v>8.7998122808162535E-2</v>
      </c>
      <c r="L1992" s="1">
        <v>96.44094985583861</v>
      </c>
      <c r="M1992" s="1">
        <v>899.13547998521608</v>
      </c>
      <c r="N1992" s="1">
        <v>-14.538151805571472</v>
      </c>
      <c r="O1992" s="1">
        <v>4.8546831907265087E-7</v>
      </c>
    </row>
    <row r="1993" spans="1:15" x14ac:dyDescent="0.25">
      <c r="A1993">
        <v>4571.1099999999997</v>
      </c>
      <c r="B1993" s="1">
        <v>0.1</v>
      </c>
      <c r="C1993" s="1">
        <v>9.0274483356174198</v>
      </c>
      <c r="D1993" s="1">
        <v>560.70000000000005</v>
      </c>
      <c r="E1993" s="1">
        <v>1660.3324273814389</v>
      </c>
      <c r="F1993" s="1">
        <v>716.25436435940003</v>
      </c>
      <c r="G1993" s="1">
        <v>5284.7161609666091</v>
      </c>
      <c r="H1993" s="1">
        <v>2.8159999999999998E-2</v>
      </c>
      <c r="I1993" s="1">
        <v>622.82988205165248</v>
      </c>
      <c r="J1993" s="1">
        <v>83.016621369071956</v>
      </c>
      <c r="K1993" s="1">
        <v>8.7986135716191988E-2</v>
      </c>
      <c r="L1993" s="1">
        <v>96.454696706271449</v>
      </c>
      <c r="M1993" s="1">
        <v>902.74483356170094</v>
      </c>
      <c r="N1993" s="1">
        <v>-14.541261805571471</v>
      </c>
      <c r="O1993" s="1">
        <v>4.8396085791745753E-7</v>
      </c>
    </row>
    <row r="1994" spans="1:15" x14ac:dyDescent="0.25">
      <c r="A1994">
        <v>4580.17</v>
      </c>
      <c r="B1994" s="1">
        <v>0.1</v>
      </c>
      <c r="C1994" s="1">
        <v>9.0638217632045279</v>
      </c>
      <c r="D1994" s="1">
        <v>560.80000000000007</v>
      </c>
      <c r="E1994" s="1">
        <v>1670.3765672483328</v>
      </c>
      <c r="F1994" s="1">
        <v>720.42387257769542</v>
      </c>
      <c r="G1994" s="1">
        <v>5301.4199265554817</v>
      </c>
      <c r="H1994" s="1">
        <v>2.8159999999999998E-2</v>
      </c>
      <c r="I1994" s="1">
        <v>626.45554137190902</v>
      </c>
      <c r="J1994" s="1">
        <v>83.518828362416642</v>
      </c>
      <c r="K1994" s="1">
        <v>8.7974152251076673E-2</v>
      </c>
      <c r="L1994" s="1">
        <v>96.468443141919067</v>
      </c>
      <c r="M1994" s="1">
        <v>906.38217632049418</v>
      </c>
      <c r="N1994" s="1">
        <v>-14.544371805571471</v>
      </c>
      <c r="O1994" s="1">
        <v>4.8245807768385089E-7</v>
      </c>
    </row>
    <row r="1995" spans="1:15" x14ac:dyDescent="0.25">
      <c r="A1995">
        <v>4589.2700000000004</v>
      </c>
      <c r="B1995" s="1">
        <v>0.1</v>
      </c>
      <c r="C1995" s="1">
        <v>9.100478511018963</v>
      </c>
      <c r="D1995" s="1">
        <v>560.9</v>
      </c>
      <c r="E1995" s="1">
        <v>1680.5203604614683</v>
      </c>
      <c r="F1995" s="1">
        <v>724.63311172022986</v>
      </c>
      <c r="G1995" s="1">
        <v>5318.2251300741636</v>
      </c>
      <c r="H1995" s="1">
        <v>2.8159999999999998E-2</v>
      </c>
      <c r="I1995" s="1">
        <v>630.11574932193912</v>
      </c>
      <c r="J1995" s="1">
        <v>84.026018023073419</v>
      </c>
      <c r="K1995" s="1">
        <v>8.7962172359075566E-2</v>
      </c>
      <c r="L1995" s="1">
        <v>96.482189222584026</v>
      </c>
      <c r="M1995" s="1">
        <v>910.04785110189914</v>
      </c>
      <c r="N1995" s="1">
        <v>-14.54748180557147</v>
      </c>
      <c r="O1995" s="1">
        <v>4.8095996383677862E-7</v>
      </c>
    </row>
    <row r="1996" spans="1:15" x14ac:dyDescent="0.25">
      <c r="A1996">
        <v>4598.41</v>
      </c>
      <c r="B1996" s="1">
        <v>0.1</v>
      </c>
      <c r="C1996" s="1">
        <v>9.1374220654216582</v>
      </c>
      <c r="D1996" s="1">
        <v>561</v>
      </c>
      <c r="E1996" s="1">
        <v>1690.7652190432109</v>
      </c>
      <c r="F1996" s="1">
        <v>728.88262251834954</v>
      </c>
      <c r="G1996" s="1">
        <v>5335.1327821762661</v>
      </c>
      <c r="H1996" s="1">
        <v>2.8159999999999998E-2</v>
      </c>
      <c r="I1996" s="1">
        <v>633.81097610291283</v>
      </c>
      <c r="J1996" s="1">
        <v>84.538260952160556</v>
      </c>
      <c r="K1996" s="1">
        <v>8.7950195985912E-2</v>
      </c>
      <c r="L1996" s="1">
        <v>96.495935008749953</v>
      </c>
      <c r="M1996" s="1">
        <v>913.74220654215605</v>
      </c>
      <c r="N1996" s="1">
        <v>-14.55059180557147</v>
      </c>
      <c r="O1996" s="1">
        <v>4.7946650188632199E-7</v>
      </c>
    </row>
    <row r="1997" spans="1:15" x14ac:dyDescent="0.25">
      <c r="A1997">
        <v>4607.58</v>
      </c>
      <c r="B1997" s="1">
        <v>0.1</v>
      </c>
      <c r="C1997" s="1">
        <v>9.1746559719787655</v>
      </c>
      <c r="D1997" s="1">
        <v>561.1</v>
      </c>
      <c r="E1997" s="1">
        <v>1701.1125812861128</v>
      </c>
      <c r="F1997" s="1">
        <v>733.17295537406403</v>
      </c>
      <c r="G1997" s="1">
        <v>5352.1439078983267</v>
      </c>
      <c r="H1997" s="1">
        <v>2.8159999999999998E-2</v>
      </c>
      <c r="I1997" s="1">
        <v>637.54170032527315</v>
      </c>
      <c r="J1997" s="1">
        <v>85.055629064305649</v>
      </c>
      <c r="K1997" s="1">
        <v>8.7938223076766436E-2</v>
      </c>
      <c r="L1997" s="1">
        <v>96.509680561590841</v>
      </c>
      <c r="M1997" s="1">
        <v>917.46559719786092</v>
      </c>
      <c r="N1997" s="1">
        <v>-14.553701805571469</v>
      </c>
      <c r="O1997" s="1">
        <v>4.7797767738755605E-7</v>
      </c>
    </row>
    <row r="1998" spans="1:15" x14ac:dyDescent="0.25">
      <c r="A1998">
        <v>4616.79</v>
      </c>
      <c r="B1998" s="1">
        <v>0.1</v>
      </c>
      <c r="C1998" s="1">
        <v>9.2121838367531534</v>
      </c>
      <c r="D1998" s="1">
        <v>561.20000000000005</v>
      </c>
      <c r="E1998" s="1">
        <v>1711.5639123676197</v>
      </c>
      <c r="F1998" s="1">
        <v>737.504670575727</v>
      </c>
      <c r="G1998" s="1">
        <v>5369.2595469286498</v>
      </c>
      <c r="H1998" s="1">
        <v>2.8159999999999998E-2</v>
      </c>
      <c r="I1998" s="1">
        <v>641.30840919628452</v>
      </c>
      <c r="J1998" s="1">
        <v>85.578195618380988</v>
      </c>
      <c r="K1998" s="1">
        <v>8.7926253576265045E-2</v>
      </c>
      <c r="L1998" s="1">
        <v>96.523425942984872</v>
      </c>
      <c r="M1998" s="1">
        <v>921.21838367529563</v>
      </c>
      <c r="N1998" s="1">
        <v>-14.556811805571469</v>
      </c>
      <c r="O1998" s="1">
        <v>4.7649347594040997E-7</v>
      </c>
    </row>
    <row r="1999" spans="1:15" x14ac:dyDescent="0.25">
      <c r="A1999">
        <v>4626.04</v>
      </c>
      <c r="B1999" s="1">
        <v>0.1</v>
      </c>
      <c r="C1999" s="1">
        <v>9.2500093276190416</v>
      </c>
      <c r="D1999" s="1">
        <v>561.30000000000007</v>
      </c>
      <c r="E1999" s="1">
        <v>1722.120704969976</v>
      </c>
      <c r="F1999" s="1">
        <v>741.87833851932112</v>
      </c>
      <c r="G1999" s="1">
        <v>5386.4807538823588</v>
      </c>
      <c r="H1999" s="1">
        <v>2.8159999999999998E-2</v>
      </c>
      <c r="I1999" s="1">
        <v>645.1115987124532</v>
      </c>
      <c r="J1999" s="1">
        <v>86.106035248498813</v>
      </c>
      <c r="K1999" s="1">
        <v>8.7914287428472918E-2</v>
      </c>
      <c r="L1999" s="1">
        <v>96.537171215523301</v>
      </c>
      <c r="M1999" s="1">
        <v>925.00093276194093</v>
      </c>
      <c r="N1999" s="1">
        <v>-14.559921805571472</v>
      </c>
      <c r="O1999" s="1">
        <v>4.7501388318952534E-7</v>
      </c>
    </row>
    <row r="2000" spans="1:15" x14ac:dyDescent="0.25">
      <c r="A2000">
        <v>4635.33</v>
      </c>
      <c r="B2000" s="1">
        <v>0.1</v>
      </c>
      <c r="C2000" s="1">
        <v>9.2881361756218279</v>
      </c>
      <c r="D2000" s="1">
        <v>561.4</v>
      </c>
      <c r="E2000" s="1">
        <v>1732.7844799273073</v>
      </c>
      <c r="F2000" s="1">
        <v>746.29453993584616</v>
      </c>
      <c r="G2000" s="1">
        <v>5403.8085985829221</v>
      </c>
      <c r="H2000" s="1">
        <v>2.8159999999999998E-2</v>
      </c>
      <c r="I2000" s="1">
        <v>648.95177385725754</v>
      </c>
      <c r="J2000" s="1">
        <v>86.639223996365374</v>
      </c>
      <c r="K2000" s="1">
        <v>8.7902324576883017E-2</v>
      </c>
      <c r="L2000" s="1">
        <v>96.550916442523857</v>
      </c>
      <c r="M2000" s="1">
        <v>928.81361756217302</v>
      </c>
      <c r="N2000" s="1">
        <v>-14.563031805571471</v>
      </c>
      <c r="O2000" s="1">
        <v>4.7353888482412512E-7</v>
      </c>
    </row>
    <row r="2001" spans="1:15" x14ac:dyDescent="0.25">
      <c r="A2001">
        <v>4644.66</v>
      </c>
      <c r="B2001" s="1">
        <v>0.1</v>
      </c>
      <c r="C2001" s="1">
        <v>9.3265681763661021</v>
      </c>
      <c r="D2001" s="1">
        <v>561.5</v>
      </c>
      <c r="E2001" s="1">
        <v>1743.5567868849589</v>
      </c>
      <c r="F2001" s="1">
        <v>750.75386612474108</v>
      </c>
      <c r="G2001" s="1">
        <v>5421.2441663502486</v>
      </c>
      <c r="H2001" s="1">
        <v>2.8159999999999998E-2</v>
      </c>
      <c r="I2001" s="1">
        <v>652.82944880412265</v>
      </c>
      <c r="J2001" s="1">
        <v>87.177839344247957</v>
      </c>
      <c r="K2001" s="1">
        <v>8.7890364964407455E-2</v>
      </c>
      <c r="L2001" s="1">
        <v>96.564661688041809</v>
      </c>
      <c r="M2001" s="1">
        <v>932.65681763659813</v>
      </c>
      <c r="N2001" s="1">
        <v>-14.566141805571471</v>
      </c>
      <c r="O2001" s="1">
        <v>4.7206846657786447E-7</v>
      </c>
    </row>
    <row r="2002" spans="1:15" x14ac:dyDescent="0.25">
      <c r="A2002">
        <v>4654.0200000000004</v>
      </c>
      <c r="B2002" s="1">
        <v>0.1</v>
      </c>
      <c r="C2002" s="1">
        <v>9.3653091914479241</v>
      </c>
      <c r="D2002" s="1">
        <v>561.6</v>
      </c>
      <c r="E2002" s="1">
        <v>1754.4392049802848</v>
      </c>
      <c r="F2002" s="1">
        <v>755.25691919375413</v>
      </c>
      <c r="G2002" s="1">
        <v>5438.7885582956278</v>
      </c>
      <c r="H2002" s="1">
        <v>2.8159999999999998E-2</v>
      </c>
      <c r="I2002" s="1">
        <v>656.74514712500365</v>
      </c>
      <c r="J2002" s="1">
        <v>87.721960249014245</v>
      </c>
      <c r="K2002" s="1">
        <v>8.787840853336723E-2</v>
      </c>
      <c r="L2002" s="1">
        <v>96.578407016882622</v>
      </c>
      <c r="M2002" s="1">
        <v>936.53091914475226</v>
      </c>
      <c r="N2002" s="1">
        <v>-14.56925180557147</v>
      </c>
      <c r="O2002" s="1">
        <v>4.7060261422869948E-7</v>
      </c>
    </row>
    <row r="2003" spans="1:15" x14ac:dyDescent="0.25">
      <c r="A2003">
        <v>4663.43</v>
      </c>
      <c r="B2003" s="1">
        <v>0.1</v>
      </c>
      <c r="C2003" s="1">
        <v>9.4043631499193854</v>
      </c>
      <c r="D2003" s="1">
        <v>561.70000000000005</v>
      </c>
      <c r="E2003" s="1">
        <v>1765.4333435415558</v>
      </c>
      <c r="F2003" s="1">
        <v>759.80431230526005</v>
      </c>
      <c r="G2003" s="1">
        <v>5456.4428916236184</v>
      </c>
      <c r="H2003" s="1">
        <v>2.8159999999999998E-2</v>
      </c>
      <c r="I2003" s="1">
        <v>660.69940200457415</v>
      </c>
      <c r="J2003" s="1">
        <v>88.271667177077802</v>
      </c>
      <c r="K2003" s="1">
        <v>8.7866455225482504E-2</v>
      </c>
      <c r="L2003" s="1">
        <v>96.592152494614211</v>
      </c>
      <c r="M2003" s="1">
        <v>940.4363149918936</v>
      </c>
      <c r="N2003" s="1">
        <v>-14.57236180557147</v>
      </c>
      <c r="O2003" s="1">
        <v>4.691413135987483E-7</v>
      </c>
    </row>
    <row r="2004" spans="1:15" x14ac:dyDescent="0.25">
      <c r="A2004">
        <v>4672.87</v>
      </c>
      <c r="B2004" s="1">
        <v>0.1</v>
      </c>
      <c r="C2004" s="1">
        <v>9.4437340497978326</v>
      </c>
      <c r="D2004" s="1">
        <v>561.80000000000007</v>
      </c>
      <c r="E2004" s="1">
        <v>1776.5408428063179</v>
      </c>
      <c r="F2004" s="1">
        <v>764.39666992938976</v>
      </c>
      <c r="G2004" s="1">
        <v>5474.2082999411587</v>
      </c>
      <c r="H2004" s="1">
        <v>2.8159999999999998E-2</v>
      </c>
      <c r="I2004" s="1">
        <v>664.69275646033907</v>
      </c>
      <c r="J2004" s="1">
        <v>88.827042140315896</v>
      </c>
      <c r="K2004" s="1">
        <v>8.7854504981862466E-2</v>
      </c>
      <c r="L2004" s="1">
        <v>96.605898187579356</v>
      </c>
      <c r="M2004" s="1">
        <v>944.37340497979676</v>
      </c>
      <c r="N2004" s="1">
        <v>-14.575471805571469</v>
      </c>
      <c r="O2004" s="1">
        <v>4.6768455055415379E-7</v>
      </c>
    </row>
    <row r="2005" spans="1:15" x14ac:dyDescent="0.25">
      <c r="A2005">
        <v>4682.3599999999997</v>
      </c>
      <c r="B2005" s="1">
        <v>0.1</v>
      </c>
      <c r="C2005" s="1">
        <v>9.4834259596144417</v>
      </c>
      <c r="D2005" s="1">
        <v>561.9</v>
      </c>
      <c r="E2005" s="1">
        <v>1787.7633746631982</v>
      </c>
      <c r="F2005" s="1">
        <v>769.03462810413134</v>
      </c>
      <c r="G2005" s="1">
        <v>5492.0859335740643</v>
      </c>
      <c r="H2005" s="1">
        <v>2.8159999999999998E-2</v>
      </c>
      <c r="I2005" s="1">
        <v>668.72576356880984</v>
      </c>
      <c r="J2005" s="1">
        <v>89.388168733159915</v>
      </c>
      <c r="K2005" s="1">
        <v>8.7842557742994404E-2</v>
      </c>
      <c r="L2005" s="1">
        <v>96.619644162909537</v>
      </c>
      <c r="M2005" s="1">
        <v>948.34259596145785</v>
      </c>
      <c r="N2005" s="1">
        <v>-14.578581805571469</v>
      </c>
      <c r="O2005" s="1">
        <v>4.6623231100494655E-7</v>
      </c>
    </row>
    <row r="2006" spans="1:15" x14ac:dyDescent="0.25">
      <c r="A2006">
        <v>4691.88</v>
      </c>
      <c r="B2006" s="1">
        <v>0.1</v>
      </c>
      <c r="C2006" s="1">
        <v>9.5234430200036222</v>
      </c>
      <c r="D2006" s="1">
        <v>562</v>
      </c>
      <c r="E2006" s="1">
        <v>1799.1026434091673</v>
      </c>
      <c r="F2006" s="1">
        <v>773.71883470257637</v>
      </c>
      <c r="G2006" s="1">
        <v>5510.0769598911238</v>
      </c>
      <c r="H2006" s="1">
        <v>2.8159999999999998E-2</v>
      </c>
      <c r="I2006" s="1">
        <v>672.7989866978927</v>
      </c>
      <c r="J2006" s="1">
        <v>89.95513217045837</v>
      </c>
      <c r="K2006" s="1">
        <v>8.7830613448734024E-2</v>
      </c>
      <c r="L2006" s="1">
        <v>96.633390488536762</v>
      </c>
      <c r="M2006" s="1">
        <v>952.34430200034694</v>
      </c>
      <c r="N2006" s="1">
        <v>-14.581691805571472</v>
      </c>
      <c r="O2006" s="1">
        <v>4.6478458090490769E-7</v>
      </c>
    </row>
    <row r="2007" spans="1:15" x14ac:dyDescent="0.25">
      <c r="A2007">
        <v>4701.4399999999996</v>
      </c>
      <c r="B2007" s="1">
        <v>0.1</v>
      </c>
      <c r="C2007" s="1">
        <v>9.5637894453393049</v>
      </c>
      <c r="D2007" s="1">
        <v>562.1</v>
      </c>
      <c r="E2007" s="1">
        <v>1810.5603865366415</v>
      </c>
      <c r="F2007" s="1">
        <v>778.44994970764674</v>
      </c>
      <c r="G2007" s="1">
        <v>5528.1825636360363</v>
      </c>
      <c r="H2007" s="1">
        <v>2.8159999999999998E-2</v>
      </c>
      <c r="I2007" s="1">
        <v>676.91299974577998</v>
      </c>
      <c r="J2007" s="1">
        <v>90.52801932683208</v>
      </c>
      <c r="K2007" s="1">
        <v>8.7818672038293535E-2</v>
      </c>
      <c r="L2007" s="1">
        <v>96.647137233208682</v>
      </c>
      <c r="M2007" s="1">
        <v>956.37894453393528</v>
      </c>
      <c r="N2007" s="1">
        <v>-14.584801805571471</v>
      </c>
      <c r="O2007" s="1">
        <v>4.6334134625143874E-7</v>
      </c>
    </row>
    <row r="2008" spans="1:15" x14ac:dyDescent="0.25">
      <c r="A2008">
        <v>4711.05</v>
      </c>
      <c r="B2008" s="1">
        <v>0.1</v>
      </c>
      <c r="C2008" s="1">
        <v>9.6044695254146202</v>
      </c>
      <c r="D2008" s="1">
        <v>562.20000000000005</v>
      </c>
      <c r="E2008" s="1">
        <v>1822.1383755359088</v>
      </c>
      <c r="F2008" s="1">
        <v>783.22864549447775</v>
      </c>
      <c r="G2008" s="1">
        <v>5546.4039472674058</v>
      </c>
      <c r="H2008" s="1">
        <v>2.8159999999999998E-2</v>
      </c>
      <c r="I2008" s="1">
        <v>681.06838738650231</v>
      </c>
      <c r="J2008" s="1">
        <v>91.106918776795453</v>
      </c>
      <c r="K2008" s="1">
        <v>8.7806733450231128E-2</v>
      </c>
      <c r="L2008" s="1">
        <v>96.660884466501315</v>
      </c>
      <c r="M2008" s="1">
        <v>960.44695254149701</v>
      </c>
      <c r="N2008" s="1">
        <v>-14.587911805571471</v>
      </c>
      <c r="O2008" s="1">
        <v>4.6190259308541704E-7</v>
      </c>
    </row>
    <row r="2009" spans="1:15" x14ac:dyDescent="0.25">
      <c r="A2009">
        <v>4720.6899999999996</v>
      </c>
      <c r="B2009" s="1">
        <v>0.1</v>
      </c>
      <c r="C2009" s="1">
        <v>9.6454876271680625</v>
      </c>
      <c r="D2009" s="1">
        <v>562.30000000000007</v>
      </c>
      <c r="E2009" s="1">
        <v>1833.83841672633</v>
      </c>
      <c r="F2009" s="1">
        <v>788.05560712070644</v>
      </c>
      <c r="G2009" s="1">
        <v>5564.7423313070221</v>
      </c>
      <c r="H2009" s="1">
        <v>2.8159999999999998E-2</v>
      </c>
      <c r="I2009" s="1">
        <v>685.26574532235372</v>
      </c>
      <c r="J2009" s="1">
        <v>91.691920836316513</v>
      </c>
      <c r="K2009" s="1">
        <v>8.7794797622439386E-2</v>
      </c>
      <c r="L2009" s="1">
        <v>96.674632258833824</v>
      </c>
      <c r="M2009" s="1">
        <v>964.54876271682224</v>
      </c>
      <c r="N2009" s="1">
        <v>-14.59102180557147</v>
      </c>
      <c r="O2009" s="1">
        <v>4.6046830749106676E-7</v>
      </c>
    </row>
    <row r="2010" spans="1:15" x14ac:dyDescent="0.25">
      <c r="A2010">
        <v>4730.38</v>
      </c>
      <c r="B2010" s="1">
        <v>0.1</v>
      </c>
      <c r="C2010" s="1">
        <v>9.6868481964586355</v>
      </c>
      <c r="D2010" s="1">
        <v>562.4</v>
      </c>
      <c r="E2010" s="1">
        <v>1845.6623521072579</v>
      </c>
      <c r="F2010" s="1">
        <v>792.93153262495105</v>
      </c>
      <c r="G2010" s="1">
        <v>5583.1989546966688</v>
      </c>
      <c r="H2010" s="1">
        <v>2.8159999999999998E-2</v>
      </c>
      <c r="I2010" s="1">
        <v>689.50568054343591</v>
      </c>
      <c r="J2010" s="1">
        <v>92.283117605362904</v>
      </c>
      <c r="K2010" s="1">
        <v>8.7782864492134322E-2</v>
      </c>
      <c r="L2010" s="1">
        <v>96.688380681482045</v>
      </c>
      <c r="M2010" s="1">
        <v>968.68481964584134</v>
      </c>
      <c r="N2010" s="1">
        <v>-14.59413180557147</v>
      </c>
      <c r="O2010" s="1">
        <v>4.5903847559582308E-7</v>
      </c>
    </row>
    <row r="2011" spans="1:15" x14ac:dyDescent="0.25">
      <c r="A2011">
        <v>4740.1099999999997</v>
      </c>
      <c r="B2011" s="1">
        <v>0.1</v>
      </c>
      <c r="C2011" s="1">
        <v>9.7285557598922381</v>
      </c>
      <c r="D2011" s="1">
        <v>562.5</v>
      </c>
      <c r="E2011" s="1">
        <v>1857.6120602406654</v>
      </c>
      <c r="F2011" s="1">
        <v>797.85713333378555</v>
      </c>
      <c r="G2011" s="1">
        <v>5601.7750751637423</v>
      </c>
      <c r="H2011" s="1">
        <v>2.8159999999999998E-2</v>
      </c>
      <c r="I2011" s="1">
        <v>693.78881159459638</v>
      </c>
      <c r="J2011" s="1">
        <v>92.880603012033276</v>
      </c>
      <c r="K2011" s="1">
        <v>8.7770933995842071E-2</v>
      </c>
      <c r="L2011" s="1">
        <v>96.702129806594868</v>
      </c>
      <c r="M2011" s="1">
        <v>972.85557598925152</v>
      </c>
      <c r="N2011" s="1">
        <v>-14.597241805571469</v>
      </c>
      <c r="O2011" s="1">
        <v>4.5761308357019785E-7</v>
      </c>
    </row>
    <row r="2012" spans="1:15" x14ac:dyDescent="0.25">
      <c r="A2012">
        <v>4749.88</v>
      </c>
      <c r="B2012" s="1">
        <v>0.1</v>
      </c>
      <c r="C2012" s="1">
        <v>9.7706149266943179</v>
      </c>
      <c r="D2012" s="1">
        <v>562.6</v>
      </c>
      <c r="E2012" s="1">
        <v>1869.6894571509581</v>
      </c>
      <c r="F2012" s="1">
        <v>802.83313417733746</v>
      </c>
      <c r="G2012" s="1">
        <v>5620.4719695958756</v>
      </c>
      <c r="H2012" s="1">
        <v>2.8159999999999998E-2</v>
      </c>
      <c r="I2012" s="1">
        <v>698.11576884985868</v>
      </c>
      <c r="J2012" s="1">
        <v>93.484472857547914</v>
      </c>
      <c r="K2012" s="1">
        <v>8.7759006069388606E-2</v>
      </c>
      <c r="L2012" s="1">
        <v>96.715879707207421</v>
      </c>
      <c r="M2012" s="1">
        <v>977.06149266941793</v>
      </c>
      <c r="N2012" s="1">
        <v>-14.600351805571469</v>
      </c>
      <c r="O2012" s="1">
        <v>4.5619211762764566E-7</v>
      </c>
    </row>
    <row r="2013" spans="1:15" x14ac:dyDescent="0.25">
      <c r="A2013">
        <v>4759.6899999999996</v>
      </c>
      <c r="B2013" s="1">
        <v>0.1</v>
      </c>
      <c r="C2013" s="1">
        <v>9.8130303906433483</v>
      </c>
      <c r="D2013" s="1">
        <v>562.70000000000005</v>
      </c>
      <c r="E2013" s="1">
        <v>1881.8964972602271</v>
      </c>
      <c r="F2013" s="1">
        <v>807.86027401403146</v>
      </c>
      <c r="G2013" s="1">
        <v>5639.290934424921</v>
      </c>
      <c r="H2013" s="1">
        <v>2.8159999999999998E-2</v>
      </c>
      <c r="I2013" s="1">
        <v>702.48719479481008</v>
      </c>
      <c r="J2013" s="1">
        <v>94.094824863011354</v>
      </c>
      <c r="K2013" s="1">
        <v>8.7747080647885861E-2</v>
      </c>
      <c r="L2013" s="1">
        <v>96.729630457257983</v>
      </c>
      <c r="M2013" s="1">
        <v>981.30303906436893</v>
      </c>
      <c r="N2013" s="1">
        <v>-14.603461805571472</v>
      </c>
      <c r="O2013" s="1">
        <v>4.5477556402442907E-7</v>
      </c>
    </row>
    <row r="2014" spans="1:15" x14ac:dyDescent="0.25">
      <c r="A2014">
        <v>4769.55</v>
      </c>
      <c r="B2014" s="1">
        <v>0.1</v>
      </c>
      <c r="C2014" s="1">
        <v>9.8558069320524044</v>
      </c>
      <c r="D2014" s="1">
        <v>562.80000000000007</v>
      </c>
      <c r="E2014" s="1">
        <v>1894.235174344816</v>
      </c>
      <c r="F2014" s="1">
        <v>812.9393059645688</v>
      </c>
      <c r="G2014" s="1">
        <v>5658.2332860204797</v>
      </c>
      <c r="H2014" s="1">
        <v>2.8159999999999998E-2</v>
      </c>
      <c r="I2014" s="1">
        <v>706.90374431701662</v>
      </c>
      <c r="J2014" s="1">
        <v>94.711758717240798</v>
      </c>
      <c r="K2014" s="1">
        <v>8.7735157665720084E-2</v>
      </c>
      <c r="L2014" s="1">
        <v>96.743382131602701</v>
      </c>
      <c r="M2014" s="1">
        <v>985.58069320524737</v>
      </c>
      <c r="N2014" s="1">
        <v>-14.606571805571472</v>
      </c>
      <c r="O2014" s="1">
        <v>4.5336340905949232E-7</v>
      </c>
    </row>
    <row r="2015" spans="1:15" x14ac:dyDescent="0.25">
      <c r="A2015">
        <v>4779.45</v>
      </c>
      <c r="B2015" s="1">
        <v>0.1</v>
      </c>
      <c r="C2015" s="1">
        <v>9.8989494198132135</v>
      </c>
      <c r="D2015" s="1">
        <v>562.9</v>
      </c>
      <c r="E2015" s="1">
        <v>1906.7075225251972</v>
      </c>
      <c r="F2015" s="1">
        <v>818.07099775562813</v>
      </c>
      <c r="G2015" s="1">
        <v>5677.3003610933683</v>
      </c>
      <c r="H2015" s="1">
        <v>2.8159999999999998E-2</v>
      </c>
      <c r="I2015" s="1">
        <v>711.3660850048941</v>
      </c>
      <c r="J2015" s="1">
        <v>95.33537612625986</v>
      </c>
      <c r="K2015" s="1">
        <v>8.7723237056538297E-2</v>
      </c>
      <c r="L2015" s="1">
        <v>96.757134806032383</v>
      </c>
      <c r="M2015" s="1">
        <v>989.89494198131069</v>
      </c>
      <c r="N2015" s="1">
        <v>-14.609681805571471</v>
      </c>
      <c r="O2015" s="1">
        <v>4.5195563907431866E-7</v>
      </c>
    </row>
    <row r="2016" spans="1:15" x14ac:dyDescent="0.25">
      <c r="A2016">
        <v>4789.3900000000003</v>
      </c>
      <c r="B2016" s="1">
        <v>0.1</v>
      </c>
      <c r="C2016" s="1">
        <v>9.9424628134939947</v>
      </c>
      <c r="D2016" s="1">
        <v>563</v>
      </c>
      <c r="E2016" s="1">
        <v>1919.31561728369</v>
      </c>
      <c r="F2016" s="1">
        <v>823.2561320734585</v>
      </c>
      <c r="G2016" s="1">
        <v>5696.4935171092047</v>
      </c>
      <c r="H2016" s="1">
        <v>2.8159999999999998E-2</v>
      </c>
      <c r="I2016" s="1">
        <v>715.87489745518155</v>
      </c>
      <c r="J2016" s="1">
        <v>95.965780864184509</v>
      </c>
      <c r="K2016" s="1">
        <v>8.7711318753235096E-2</v>
      </c>
      <c r="L2016" s="1">
        <v>96.77088855728887</v>
      </c>
      <c r="M2016" s="1">
        <v>994.24628134938757</v>
      </c>
      <c r="N2016" s="1">
        <v>-14.612791805571471</v>
      </c>
      <c r="O2016" s="1">
        <v>4.5055224045280496E-7</v>
      </c>
    </row>
    <row r="2017" spans="1:15" x14ac:dyDescent="0.25">
      <c r="A2017">
        <v>4799.38</v>
      </c>
      <c r="B2017" s="1">
        <v>0.1</v>
      </c>
      <c r="C2017" s="1">
        <v>9.9863521655011933</v>
      </c>
      <c r="D2017" s="1">
        <v>563.1</v>
      </c>
      <c r="E2017" s="1">
        <v>1932.0615765120231</v>
      </c>
      <c r="F2017" s="1">
        <v>828.49550692780565</v>
      </c>
      <c r="G2017" s="1">
        <v>5715.8141327125268</v>
      </c>
      <c r="H2017" s="1">
        <v>2.8159999999999998E-2</v>
      </c>
      <c r="I2017" s="1">
        <v>720.43087558939612</v>
      </c>
      <c r="J2017" s="1">
        <v>96.603078825601159</v>
      </c>
      <c r="K2017" s="1">
        <v>8.7699402687939534E-2</v>
      </c>
      <c r="L2017" s="1">
        <v>96.784643463081451</v>
      </c>
      <c r="M2017" s="1">
        <v>998.63521655015575</v>
      </c>
      <c r="N2017" s="1">
        <v>-14.61590180557147</v>
      </c>
      <c r="O2017" s="1">
        <v>4.4915319962112866E-7</v>
      </c>
    </row>
    <row r="2018" spans="1:15" x14ac:dyDescent="0.25">
      <c r="A2018">
        <v>4809.41</v>
      </c>
      <c r="B2018" s="1">
        <v>0.1</v>
      </c>
      <c r="C2018" s="1">
        <v>10.03062262330441</v>
      </c>
      <c r="D2018" s="1">
        <v>563.20000000000005</v>
      </c>
      <c r="E2018" s="1">
        <v>1944.9475615935353</v>
      </c>
      <c r="F2018" s="1">
        <v>833.78993602652702</v>
      </c>
      <c r="G2018" s="1">
        <v>5735.2636081616974</v>
      </c>
      <c r="H2018" s="1">
        <v>2.8159999999999998E-2</v>
      </c>
      <c r="I2018" s="1">
        <v>725.03472697958898</v>
      </c>
      <c r="J2018" s="1">
        <v>97.247378079676764</v>
      </c>
      <c r="K2018" s="1">
        <v>8.7687488792000903E-2</v>
      </c>
      <c r="L2018" s="1">
        <v>96.79839960210461</v>
      </c>
      <c r="M2018" s="1">
        <v>1003.0622623304225</v>
      </c>
      <c r="N2018" s="1">
        <v>-14.61901180557147</v>
      </c>
      <c r="O2018" s="1">
        <v>4.477585030476158E-7</v>
      </c>
    </row>
    <row r="2019" spans="1:15" x14ac:dyDescent="0.25">
      <c r="A2019">
        <v>4819.4799999999996</v>
      </c>
      <c r="B2019" s="1">
        <v>0.1</v>
      </c>
      <c r="C2019" s="1">
        <v>10.075279431722892</v>
      </c>
      <c r="D2019" s="1">
        <v>563.30000000000007</v>
      </c>
      <c r="E2019" s="1">
        <v>1957.9757785157526</v>
      </c>
      <c r="F2019" s="1">
        <v>839.14024916115886</v>
      </c>
      <c r="G2019" s="1">
        <v>5754.8433657749456</v>
      </c>
      <c r="H2019" s="1">
        <v>2.8159999999999998E-2</v>
      </c>
      <c r="I2019" s="1">
        <v>729.68717318361655</v>
      </c>
      <c r="J2019" s="1">
        <v>97.898788925787642</v>
      </c>
      <c r="K2019" s="1">
        <v>8.7675576995974794E-2</v>
      </c>
      <c r="L2019" s="1">
        <v>96.812157054055191</v>
      </c>
      <c r="M2019" s="1">
        <v>1007.5279431723175</v>
      </c>
      <c r="N2019" s="1">
        <v>-14.622121805571469</v>
      </c>
      <c r="O2019" s="1">
        <v>4.4636813724261095E-7</v>
      </c>
    </row>
    <row r="2020" spans="1:15" x14ac:dyDescent="0.25">
      <c r="A2020">
        <v>4829.6000000000004</v>
      </c>
      <c r="B2020" s="1">
        <v>0.1</v>
      </c>
      <c r="C2020" s="1">
        <v>10.120327935285184</v>
      </c>
      <c r="D2020" s="1">
        <v>563.4</v>
      </c>
      <c r="E2020" s="1">
        <v>1971.1484790202683</v>
      </c>
      <c r="F2020" s="1">
        <v>844.54729260399483</v>
      </c>
      <c r="G2020" s="1">
        <v>5774.5548503879154</v>
      </c>
      <c r="H2020" s="1">
        <v>2.8159999999999998E-2</v>
      </c>
      <c r="I2020" s="1">
        <v>734.38895009043051</v>
      </c>
      <c r="J2020" s="1">
        <v>98.557423951013419</v>
      </c>
      <c r="K2020" s="1">
        <v>8.7663667229608264E-2</v>
      </c>
      <c r="L2020" s="1">
        <v>96.825915899651037</v>
      </c>
      <c r="M2020" s="1">
        <v>1012.0327935284877</v>
      </c>
      <c r="N2020" s="1">
        <v>-14.625231805571472</v>
      </c>
      <c r="O2020" s="1">
        <v>4.4498208875834458E-7</v>
      </c>
    </row>
    <row r="2021" spans="1:15" x14ac:dyDescent="0.25">
      <c r="A2021">
        <v>4839.7700000000004</v>
      </c>
      <c r="B2021" s="1">
        <v>0.1</v>
      </c>
      <c r="C2021" s="1">
        <v>10.165773580649899</v>
      </c>
      <c r="D2021" s="1">
        <v>563.5</v>
      </c>
      <c r="E2021" s="1">
        <v>1984.4679617843308</v>
      </c>
      <c r="F2021" s="1">
        <v>850.01192951680946</v>
      </c>
      <c r="G2021" s="1">
        <v>5794.3995298230057</v>
      </c>
      <c r="H2021" s="1">
        <v>2.8159999999999998E-2</v>
      </c>
      <c r="I2021" s="1">
        <v>739.14080827548673</v>
      </c>
      <c r="J2021" s="1">
        <v>99.223398089216545</v>
      </c>
      <c r="K2021" s="1">
        <v>8.765175942182564E-2</v>
      </c>
      <c r="L2021" s="1">
        <v>96.839676220648599</v>
      </c>
      <c r="M2021" s="1">
        <v>1016.5773580650239</v>
      </c>
      <c r="N2021" s="1">
        <v>-14.628341805571472</v>
      </c>
      <c r="O2021" s="1">
        <v>4.4360034418880942E-7</v>
      </c>
    </row>
    <row r="2022" spans="1:15" x14ac:dyDescent="0.25">
      <c r="A2022">
        <v>4849.9799999999996</v>
      </c>
      <c r="B2022" s="1">
        <v>0.1</v>
      </c>
      <c r="C2022" s="1">
        <v>10.211621919109092</v>
      </c>
      <c r="D2022" s="1">
        <v>563.6</v>
      </c>
      <c r="E2022" s="1">
        <v>1997.9365736428001</v>
      </c>
      <c r="F2022" s="1">
        <v>855.53504037196751</v>
      </c>
      <c r="G2022" s="1">
        <v>5814.3788953709682</v>
      </c>
      <c r="H2022" s="1">
        <v>2.8159999999999998E-2</v>
      </c>
      <c r="I2022" s="1">
        <v>743.94351336692864</v>
      </c>
      <c r="J2022" s="1">
        <v>99.896828682140011</v>
      </c>
      <c r="K2022" s="1">
        <v>8.7639853500712878E-2</v>
      </c>
      <c r="L2022" s="1">
        <v>96.85343809986243</v>
      </c>
      <c r="M2022" s="1">
        <v>1021.1621919109348</v>
      </c>
      <c r="N2022" s="1">
        <v>-14.631451805571471</v>
      </c>
      <c r="O2022" s="1">
        <v>4.4222289016962152E-7</v>
      </c>
    </row>
    <row r="2023" spans="1:15" x14ac:dyDescent="0.25">
      <c r="A2023">
        <v>4860.24</v>
      </c>
      <c r="B2023" s="1">
        <v>0.1</v>
      </c>
      <c r="C2023" s="1">
        <v>10.257878609156672</v>
      </c>
      <c r="D2023" s="1">
        <v>563.70000000000005</v>
      </c>
      <c r="E2023" s="1">
        <v>2011.5567108472733</v>
      </c>
      <c r="F2023" s="1">
        <v>861.11752338604492</v>
      </c>
      <c r="G2023" s="1">
        <v>5834.4944622850535</v>
      </c>
      <c r="H2023" s="1">
        <v>2.8159999999999998E-2</v>
      </c>
      <c r="I2023" s="1">
        <v>748.79784642264792</v>
      </c>
      <c r="J2023" s="1">
        <v>100.57783554236367</v>
      </c>
      <c r="K2023" s="1">
        <v>8.7627949393501908E-2</v>
      </c>
      <c r="L2023" s="1">
        <v>96.867201621184535</v>
      </c>
      <c r="M2023" s="1">
        <v>1025.7878609156251</v>
      </c>
      <c r="N2023" s="1">
        <v>-14.634561805571471</v>
      </c>
      <c r="O2023" s="1">
        <v>4.4084971337789713E-7</v>
      </c>
    </row>
    <row r="2024" spans="1:15" x14ac:dyDescent="0.25">
      <c r="A2024">
        <v>4870.54</v>
      </c>
      <c r="B2024" s="1">
        <v>0.1</v>
      </c>
      <c r="C2024" s="1">
        <v>10.304549443834201</v>
      </c>
      <c r="D2024" s="1">
        <v>563.80000000000007</v>
      </c>
      <c r="E2024" s="1">
        <v>2025.3308252216939</v>
      </c>
      <c r="F2024" s="1">
        <v>866.7602957044968</v>
      </c>
      <c r="G2024" s="1">
        <v>5854.7477704886778</v>
      </c>
      <c r="H2024" s="1">
        <v>2.8159999999999998E-2</v>
      </c>
      <c r="I2024" s="1">
        <v>753.70460496043222</v>
      </c>
      <c r="J2024" s="1">
        <v>101.2665412610847</v>
      </c>
      <c r="K2024" s="1">
        <v>8.7616047024823854E-2</v>
      </c>
      <c r="L2024" s="1">
        <v>96.880966871606418</v>
      </c>
      <c r="M2024" s="1">
        <v>1030.4549443833821</v>
      </c>
      <c r="N2024" s="1">
        <v>-14.63767180557147</v>
      </c>
      <c r="O2024" s="1">
        <v>4.3948080053212225E-7</v>
      </c>
    </row>
    <row r="2025" spans="1:15" x14ac:dyDescent="0.25">
      <c r="A2025">
        <v>4880.8900000000003</v>
      </c>
      <c r="B2025" s="1">
        <v>0.1</v>
      </c>
      <c r="C2025" s="1">
        <v>10.351640256849048</v>
      </c>
      <c r="D2025" s="1">
        <v>563.9</v>
      </c>
      <c r="E2025" s="1">
        <v>2039.2614065164682</v>
      </c>
      <c r="F2025" s="1">
        <v>872.46429162302616</v>
      </c>
      <c r="G2025" s="1">
        <v>5875.1403845035929</v>
      </c>
      <c r="H2025" s="1">
        <v>2.8159999999999998E-2</v>
      </c>
      <c r="I2025" s="1">
        <v>758.66460141132734</v>
      </c>
      <c r="J2025" s="1">
        <v>101.96307032582342</v>
      </c>
      <c r="K2025" s="1">
        <v>8.7604146323228105E-2</v>
      </c>
      <c r="L2025" s="1">
        <v>96.894733933680612</v>
      </c>
      <c r="M2025" s="1">
        <v>1035.164025684935</v>
      </c>
      <c r="N2025" s="1">
        <v>-14.64078180557147</v>
      </c>
      <c r="O2025" s="1">
        <v>4.3811613839202429E-7</v>
      </c>
    </row>
    <row r="2026" spans="1:15" x14ac:dyDescent="0.25">
      <c r="A2026">
        <v>4891.29</v>
      </c>
      <c r="B2026" s="1">
        <v>0.1</v>
      </c>
      <c r="C2026" s="1">
        <v>10.399157067062795</v>
      </c>
      <c r="D2026" s="1">
        <v>564</v>
      </c>
      <c r="E2026" s="1">
        <v>2053.3510116004459</v>
      </c>
      <c r="F2026" s="1">
        <v>878.23046532882904</v>
      </c>
      <c r="G2026" s="1">
        <v>5895.6738945676279</v>
      </c>
      <c r="H2026" s="1">
        <v>2.8159999999999998E-2</v>
      </c>
      <c r="I2026" s="1">
        <v>763.67866550332985</v>
      </c>
      <c r="J2026" s="1">
        <v>102.66755058002229</v>
      </c>
      <c r="K2026" s="1">
        <v>8.7592247211957228E-2</v>
      </c>
      <c r="L2026" s="1">
        <v>96.908502896190754</v>
      </c>
      <c r="M2026" s="1">
        <v>1039.9157067063243</v>
      </c>
      <c r="N2026" s="1">
        <v>-14.643891805571467</v>
      </c>
      <c r="O2026" s="1">
        <v>4.3675571375844401E-7</v>
      </c>
    </row>
    <row r="2027" spans="1:15" x14ac:dyDescent="0.25">
      <c r="A2027">
        <v>4901.74</v>
      </c>
      <c r="B2027" s="1">
        <v>0.1</v>
      </c>
      <c r="C2027" s="1">
        <v>10.447105989097748</v>
      </c>
      <c r="D2027" s="1">
        <v>564.1</v>
      </c>
      <c r="E2027" s="1">
        <v>2067.6022477902566</v>
      </c>
      <c r="F2027" s="1">
        <v>884.05979062337337</v>
      </c>
      <c r="G2027" s="1">
        <v>5916.3499169917723</v>
      </c>
      <c r="H2027" s="1">
        <v>2.8159999999999998E-2</v>
      </c>
      <c r="I2027" s="1">
        <v>768.74764402032497</v>
      </c>
      <c r="J2027" s="1">
        <v>103.38011238951283</v>
      </c>
      <c r="K2027" s="1">
        <v>8.7580349614664613E-2</v>
      </c>
      <c r="L2027" s="1">
        <v>96.922273847541305</v>
      </c>
      <c r="M2027" s="1">
        <v>1044.7105989097508</v>
      </c>
      <c r="N2027" s="1">
        <v>-14.647001805571472</v>
      </c>
      <c r="O2027" s="1">
        <v>4.3539951347320594E-7</v>
      </c>
    </row>
    <row r="2028" spans="1:15" x14ac:dyDescent="0.25">
      <c r="A2028">
        <v>4912.2299999999996</v>
      </c>
      <c r="B2028" s="1">
        <v>0.1</v>
      </c>
      <c r="C2028" s="1">
        <v>10.495493258855259</v>
      </c>
      <c r="D2028" s="1">
        <v>564.20000000000005</v>
      </c>
      <c r="E2028" s="1">
        <v>2082.0177787357343</v>
      </c>
      <c r="F2028" s="1">
        <v>889.95326142629369</v>
      </c>
      <c r="G2028" s="1">
        <v>5937.1700947235095</v>
      </c>
      <c r="H2028" s="1">
        <v>2.8159999999999998E-2</v>
      </c>
      <c r="I2028" s="1">
        <v>773.87240124025561</v>
      </c>
      <c r="J2028" s="1">
        <v>104.10088893678672</v>
      </c>
      <c r="K2028" s="1">
        <v>8.7568453454066775E-2</v>
      </c>
      <c r="L2028" s="1">
        <v>96.936046877317395</v>
      </c>
      <c r="M2028" s="1">
        <v>1049.5493258855277</v>
      </c>
      <c r="N2028" s="1">
        <v>-14.650111805571472</v>
      </c>
      <c r="O2028" s="1">
        <v>4.3404752441899805E-7</v>
      </c>
    </row>
    <row r="2029" spans="1:15" x14ac:dyDescent="0.25">
      <c r="A2029">
        <v>4922.78</v>
      </c>
      <c r="B2029" s="1">
        <v>0.1</v>
      </c>
      <c r="C2029" s="1">
        <v>10.544325236596753</v>
      </c>
      <c r="D2029" s="1">
        <v>564.30000000000007</v>
      </c>
      <c r="E2029" s="1">
        <v>2096.6003259387021</v>
      </c>
      <c r="F2029" s="1">
        <v>895.9118922949408</v>
      </c>
      <c r="G2029" s="1">
        <v>5958.1360979253441</v>
      </c>
      <c r="H2029" s="1">
        <v>2.8159999999999998E-2</v>
      </c>
      <c r="I2029" s="1">
        <v>779.05381938690505</v>
      </c>
      <c r="J2029" s="1">
        <v>104.83001629693511</v>
      </c>
      <c r="K2029" s="1">
        <v>8.755655865192552E-2</v>
      </c>
      <c r="L2029" s="1">
        <v>96.949822076307015</v>
      </c>
      <c r="M2029" s="1">
        <v>1054.4325236596706</v>
      </c>
      <c r="N2029" s="1">
        <v>-14.653221805571471</v>
      </c>
      <c r="O2029" s="1">
        <v>4.3269973351923484E-7</v>
      </c>
    </row>
    <row r="2030" spans="1:15" x14ac:dyDescent="0.25">
      <c r="A2030">
        <v>4933.37</v>
      </c>
      <c r="B2030" s="1">
        <v>0.1</v>
      </c>
      <c r="C2030" s="1">
        <v>10.59360841011619</v>
      </c>
      <c r="D2030" s="1">
        <v>564.4</v>
      </c>
      <c r="E2030" s="1">
        <v>2111.3526703222528</v>
      </c>
      <c r="F2030" s="1">
        <v>901.93671896002252</v>
      </c>
      <c r="G2030" s="1">
        <v>5979.2496245690054</v>
      </c>
      <c r="H2030" s="1">
        <v>2.8159999999999998E-2</v>
      </c>
      <c r="I2030" s="1">
        <v>784.29279909567163</v>
      </c>
      <c r="J2030" s="1">
        <v>105.56763351611265</v>
      </c>
      <c r="K2030" s="1">
        <v>8.7544665129029614E-2</v>
      </c>
      <c r="L2030" s="1">
        <v>96.963599536523887</v>
      </c>
      <c r="M2030" s="1">
        <v>1059.3608410115849</v>
      </c>
      <c r="N2030" s="1">
        <v>-14.656331805571471</v>
      </c>
      <c r="O2030" s="1">
        <v>4.3135612773793743E-7</v>
      </c>
    </row>
    <row r="2031" spans="1:15" x14ac:dyDescent="0.25">
      <c r="A2031">
        <v>4944.0200000000004</v>
      </c>
      <c r="B2031" s="1">
        <v>0.1</v>
      </c>
      <c r="C2031" s="1">
        <v>10.643349398014484</v>
      </c>
      <c r="D2031" s="1">
        <v>564.5</v>
      </c>
      <c r="E2031" s="1">
        <v>2126.2776538503836</v>
      </c>
      <c r="F2031" s="1">
        <v>908.02879887802544</v>
      </c>
      <c r="G2031" s="1">
        <v>6000.5124010458539</v>
      </c>
      <c r="H2031" s="1">
        <v>2.8159999999999998E-2</v>
      </c>
      <c r="I2031" s="1">
        <v>789.59025989393535</v>
      </c>
      <c r="J2031" s="1">
        <v>106.31388269251919</v>
      </c>
      <c r="K2031" s="1">
        <v>8.7532772805175935E-2</v>
      </c>
      <c r="L2031" s="1">
        <v>96.97737935123088</v>
      </c>
      <c r="M2031" s="1">
        <v>1064.3349398014834</v>
      </c>
      <c r="N2031" s="1">
        <v>-14.65944180557147</v>
      </c>
      <c r="O2031" s="1">
        <v>4.3001669407960591E-7</v>
      </c>
    </row>
    <row r="2032" spans="1:15" x14ac:dyDescent="0.25">
      <c r="A2032">
        <v>4954.71</v>
      </c>
      <c r="B2032" s="1">
        <v>0.1</v>
      </c>
      <c r="C2032" s="1">
        <v>10.693554953075809</v>
      </c>
      <c r="D2032" s="1">
        <v>564.6</v>
      </c>
      <c r="E2032" s="1">
        <v>2141.3781811985277</v>
      </c>
      <c r="F2032" s="1">
        <v>914.18921180100847</v>
      </c>
      <c r="G2032" s="1">
        <v>6021.9261827940127</v>
      </c>
      <c r="H2032" s="1">
        <v>2.8159999999999998E-2</v>
      </c>
      <c r="I2032" s="1">
        <v>794.94714069652923</v>
      </c>
      <c r="J2032" s="1">
        <v>107.0689090599264</v>
      </c>
      <c r="K2032" s="1">
        <v>8.7520881599151015E-2</v>
      </c>
      <c r="L2032" s="1">
        <v>96.99116161496309</v>
      </c>
      <c r="M2032" s="1">
        <v>1069.3554953075363</v>
      </c>
      <c r="N2032" s="1">
        <v>-14.66255180557147</v>
      </c>
      <c r="O2032" s="1">
        <v>4.2868141958909348E-7</v>
      </c>
    </row>
    <row r="2033" spans="1:15" x14ac:dyDescent="0.25">
      <c r="A2033">
        <v>4965.45</v>
      </c>
      <c r="B2033" s="1">
        <v>0.1</v>
      </c>
      <c r="C2033" s="1">
        <v>10.744231965751124</v>
      </c>
      <c r="D2033" s="1">
        <v>564.70000000000005</v>
      </c>
      <c r="E2033" s="1">
        <v>2156.6572214865687</v>
      </c>
      <c r="F2033" s="1">
        <v>920.41906036442799</v>
      </c>
      <c r="G2033" s="1">
        <v>6043.4927549427894</v>
      </c>
      <c r="H2033" s="1">
        <v>2.8159999999999998E-2</v>
      </c>
      <c r="I2033" s="1">
        <v>800.36440031689403</v>
      </c>
      <c r="J2033" s="1">
        <v>107.83286107432843</v>
      </c>
      <c r="K2033" s="1">
        <v>8.7508991428709909E-2</v>
      </c>
      <c r="L2033" s="1">
        <v>97.004946423553903</v>
      </c>
      <c r="M2033" s="1">
        <v>1074.4231965751169</v>
      </c>
      <c r="N2033" s="1">
        <v>-14.665661805571469</v>
      </c>
      <c r="O2033" s="1">
        <v>4.2735029135148137E-7</v>
      </c>
    </row>
    <row r="2034" spans="1:15" x14ac:dyDescent="0.25">
      <c r="A2034">
        <v>4976.25</v>
      </c>
      <c r="B2034" s="1">
        <v>0.1</v>
      </c>
      <c r="C2034" s="1">
        <v>10.795387467747851</v>
      </c>
      <c r="D2034" s="1">
        <v>564.80000000000007</v>
      </c>
      <c r="E2034" s="1">
        <v>2172.1178100579496</v>
      </c>
      <c r="F2034" s="1">
        <v>926.71947069353769</v>
      </c>
      <c r="G2034" s="1">
        <v>6065.213932974928</v>
      </c>
      <c r="H2034" s="1">
        <v>2.8159999999999998E-2</v>
      </c>
      <c r="I2034" s="1">
        <v>805.8430179943806</v>
      </c>
      <c r="J2034" s="1">
        <v>108.60589050289748</v>
      </c>
      <c r="K2034" s="1">
        <v>8.7497102210557828E-2</v>
      </c>
      <c r="L2034" s="1">
        <v>97.018733874158102</v>
      </c>
      <c r="M2034" s="1">
        <v>1079.5387467747787</v>
      </c>
      <c r="N2034" s="1">
        <v>-14.668771805571469</v>
      </c>
      <c r="O2034" s="1">
        <v>4.2602329649195382E-7</v>
      </c>
    </row>
    <row r="2035" spans="1:15" x14ac:dyDescent="0.25">
      <c r="A2035">
        <v>4987.1000000000004</v>
      </c>
      <c r="B2035" s="1">
        <v>0.1</v>
      </c>
      <c r="C2035" s="1">
        <v>10.847028635741493</v>
      </c>
      <c r="D2035" s="1">
        <v>564.9</v>
      </c>
      <c r="E2035" s="1">
        <v>2187.7630503295277</v>
      </c>
      <c r="F2035" s="1">
        <v>933.09159302929129</v>
      </c>
      <c r="G2035" s="1">
        <v>6087.091563407329</v>
      </c>
      <c r="H2035" s="1">
        <v>2.8159999999999998E-2</v>
      </c>
      <c r="I2035" s="1">
        <v>811.38399393851455</v>
      </c>
      <c r="J2035" s="1">
        <v>109.3881525164764</v>
      </c>
      <c r="K2035" s="1">
        <v>8.7485213860328079E-2</v>
      </c>
      <c r="L2035" s="1">
        <v>97.032524065279162</v>
      </c>
      <c r="M2035" s="1">
        <v>1084.7028635741481</v>
      </c>
      <c r="N2035" s="1">
        <v>-14.671881805571472</v>
      </c>
      <c r="O2035" s="1">
        <v>4.2470042217567191E-7</v>
      </c>
    </row>
    <row r="2036" spans="1:15" x14ac:dyDescent="0.25">
      <c r="A2036">
        <v>4998</v>
      </c>
      <c r="B2036" s="1">
        <v>0.1</v>
      </c>
      <c r="C2036" s="1">
        <v>10.899162795199377</v>
      </c>
      <c r="D2036" s="1">
        <v>565</v>
      </c>
      <c r="E2036" s="1">
        <v>2203.5961156951166</v>
      </c>
      <c r="F2036" s="1">
        <v>939.53660237425947</v>
      </c>
      <c r="G2036" s="1">
        <v>6109.1275244908375</v>
      </c>
      <c r="H2036" s="1">
        <v>2.8159999999999998E-2</v>
      </c>
      <c r="I2036" s="1">
        <v>816.98834989066052</v>
      </c>
      <c r="J2036" s="1">
        <v>110.17980578475584</v>
      </c>
      <c r="K2036" s="1">
        <v>8.7473326292561798E-2</v>
      </c>
      <c r="L2036" s="1">
        <v>97.046317096794581</v>
      </c>
      <c r="M2036" s="1">
        <v>1089.9162795199118</v>
      </c>
      <c r="N2036" s="1">
        <v>-14.674991805571471</v>
      </c>
      <c r="O2036" s="1">
        <v>4.2338165560765566E-7</v>
      </c>
    </row>
    <row r="2037" spans="1:15" x14ac:dyDescent="0.25">
      <c r="A2037">
        <v>5008.95</v>
      </c>
      <c r="B2037" s="1">
        <v>0.1</v>
      </c>
      <c r="C2037" s="1">
        <v>10.951797424331136</v>
      </c>
      <c r="D2037" s="1">
        <v>565.1</v>
      </c>
      <c r="E2037" s="1">
        <v>2219.6202514985775</v>
      </c>
      <c r="F2037" s="1">
        <v>946.05569915942658</v>
      </c>
      <c r="G2037" s="1">
        <v>6131.3237269297251</v>
      </c>
      <c r="H2037" s="1">
        <v>2.8159999999999998E-2</v>
      </c>
      <c r="I2037" s="1">
        <v>822.65712970384925</v>
      </c>
      <c r="J2037" s="1">
        <v>110.98101257492888</v>
      </c>
      <c r="K2037" s="1">
        <v>8.7461439420685613E-2</v>
      </c>
      <c r="L2037" s="1">
        <v>97.060113069983544</v>
      </c>
      <c r="M2037" s="1">
        <v>1095.1797424330834</v>
      </c>
      <c r="N2037" s="1">
        <v>-14.678101805571469</v>
      </c>
      <c r="O2037" s="1">
        <v>4.2206698403265136E-7</v>
      </c>
    </row>
    <row r="2038" spans="1:15" x14ac:dyDescent="0.25">
      <c r="A2038">
        <v>5019.95</v>
      </c>
      <c r="B2038" s="1">
        <v>0.1</v>
      </c>
      <c r="C2038" s="1">
        <v>11.004940158165375</v>
      </c>
      <c r="D2038" s="1">
        <v>565.20000000000005</v>
      </c>
      <c r="E2038" s="1">
        <v>2235.8387770692543</v>
      </c>
      <c r="F2038" s="1">
        <v>952.65010993260296</v>
      </c>
      <c r="G2038" s="1">
        <v>6153.6821146215534</v>
      </c>
      <c r="H2038" s="1">
        <v>2.8159999999999998E-2</v>
      </c>
      <c r="I2038" s="1">
        <v>828.39139994139407</v>
      </c>
      <c r="J2038" s="1">
        <v>111.79193885346272</v>
      </c>
      <c r="K2038" s="1">
        <v>8.7449553156990129E-2</v>
      </c>
      <c r="L2038" s="1">
        <v>97.07391208755385</v>
      </c>
      <c r="M2038" s="1">
        <v>1100.4940158165482</v>
      </c>
      <c r="N2038" s="1">
        <v>-14.68121180557147</v>
      </c>
      <c r="O2038" s="1">
        <v>4.2075639473501349E-7</v>
      </c>
    </row>
    <row r="2039" spans="1:15" x14ac:dyDescent="0.25">
      <c r="A2039">
        <v>5031.01</v>
      </c>
      <c r="B2039" s="1">
        <v>0.1</v>
      </c>
      <c r="C2039" s="1">
        <v>11.05859879276265</v>
      </c>
      <c r="D2039" s="1">
        <v>565.30000000000007</v>
      </c>
      <c r="E2039" s="1">
        <v>2252.2550878316229</v>
      </c>
      <c r="F2039" s="1">
        <v>959.32108806938061</v>
      </c>
      <c r="G2039" s="1">
        <v>6176.2046654181268</v>
      </c>
      <c r="H2039" s="1">
        <v>2.8159999999999998E-2</v>
      </c>
      <c r="I2039" s="1">
        <v>834.19225049511374</v>
      </c>
      <c r="J2039" s="1">
        <v>112.61275439158115</v>
      </c>
      <c r="K2039" s="1">
        <v>8.7437667412606349E-2</v>
      </c>
      <c r="L2039" s="1">
        <v>97.087714253671052</v>
      </c>
      <c r="M2039" s="1">
        <v>1105.8598792762496</v>
      </c>
      <c r="N2039" s="1">
        <v>-14.68432180557147</v>
      </c>
      <c r="O2039" s="1">
        <v>4.1944987503858138E-7</v>
      </c>
    </row>
    <row r="2040" spans="1:15" x14ac:dyDescent="0.25">
      <c r="A2040">
        <v>5042.12</v>
      </c>
      <c r="B2040" s="1">
        <v>0.1</v>
      </c>
      <c r="C2040" s="1">
        <v>11.112781289561632</v>
      </c>
      <c r="D2040" s="1">
        <v>565.4</v>
      </c>
      <c r="E2040" s="1">
        <v>2268.8726574827456</v>
      </c>
      <c r="F2040" s="1">
        <v>966.06991450733631</v>
      </c>
      <c r="G2040" s="1">
        <v>6198.8933919082101</v>
      </c>
      <c r="H2040" s="1">
        <v>2.8159999999999998E-2</v>
      </c>
      <c r="I2040" s="1">
        <v>840.06079522377092</v>
      </c>
      <c r="J2040" s="1">
        <v>113.44363287413728</v>
      </c>
      <c r="K2040" s="1">
        <v>8.7425782097483057E-2</v>
      </c>
      <c r="L2040" s="1">
        <v>97.101519673986843</v>
      </c>
      <c r="M2040" s="1">
        <v>1111.2781289562008</v>
      </c>
      <c r="N2040" s="1">
        <v>-14.687431805571469</v>
      </c>
      <c r="O2040" s="1">
        <v>4.1814741230655557E-7</v>
      </c>
    </row>
    <row r="2041" spans="1:15" x14ac:dyDescent="0.25">
      <c r="A2041">
        <v>5053.29</v>
      </c>
      <c r="B2041" s="1">
        <v>0.1</v>
      </c>
      <c r="C2041" s="1">
        <v>11.167495779872889</v>
      </c>
      <c r="D2041" s="1">
        <v>565.5</v>
      </c>
      <c r="E2041" s="1">
        <v>2285.6950402483367</v>
      </c>
      <c r="F2041" s="1">
        <v>972.89789850451768</v>
      </c>
      <c r="G2041" s="1">
        <v>6221.7503422228219</v>
      </c>
      <c r="H2041" s="1">
        <v>2.8159999999999998E-2</v>
      </c>
      <c r="I2041" s="1">
        <v>845.99817261262444</v>
      </c>
      <c r="J2041" s="1">
        <v>114.28475201241685</v>
      </c>
      <c r="K2041" s="1">
        <v>8.7413897120362322E-2</v>
      </c>
      <c r="L2041" s="1">
        <v>97.115328455669385</v>
      </c>
      <c r="M2041" s="1">
        <v>1116.7495779873207</v>
      </c>
      <c r="N2041" s="1">
        <v>-14.690541805571469</v>
      </c>
      <c r="O2041" s="1">
        <v>4.1684899394137609E-7</v>
      </c>
    </row>
    <row r="2042" spans="1:15" x14ac:dyDescent="0.25">
      <c r="A2042">
        <v>5064.51</v>
      </c>
      <c r="B2042" s="1">
        <v>0.1</v>
      </c>
      <c r="C2042" s="1">
        <v>11.222750569519627</v>
      </c>
      <c r="D2042" s="1">
        <v>565.6</v>
      </c>
      <c r="E2042" s="1">
        <v>2302.7258732142286</v>
      </c>
      <c r="F2042" s="1">
        <v>979.80637842308204</v>
      </c>
      <c r="G2042" s="1">
        <v>6244.7776008638348</v>
      </c>
      <c r="H2042" s="1">
        <v>2.8159999999999998E-2</v>
      </c>
      <c r="I2042" s="1">
        <v>852.00554645485431</v>
      </c>
      <c r="J2042" s="1">
        <v>115.13629366071143</v>
      </c>
      <c r="K2042" s="1">
        <v>8.740201238875521E-2</v>
      </c>
      <c r="L2042" s="1">
        <v>97.129140707433507</v>
      </c>
      <c r="M2042" s="1">
        <v>1122.2750569520031</v>
      </c>
      <c r="N2042" s="1">
        <v>-14.693651805571472</v>
      </c>
      <c r="O2042" s="1">
        <v>4.1555460738459909E-7</v>
      </c>
    </row>
    <row r="2043" spans="1:15" x14ac:dyDescent="0.25">
      <c r="A2043">
        <v>5075.79</v>
      </c>
      <c r="B2043" s="1">
        <v>0.1</v>
      </c>
      <c r="C2043" s="1">
        <v>11.278554143633555</v>
      </c>
      <c r="D2043" s="1">
        <v>565.70000000000005</v>
      </c>
      <c r="E2043" s="1">
        <v>2319.9688787420405</v>
      </c>
      <c r="F2043" s="1">
        <v>986.7967225390779</v>
      </c>
      <c r="G2043" s="1">
        <v>6267.9772895567257</v>
      </c>
      <c r="H2043" s="1">
        <v>2.8159999999999998E-2</v>
      </c>
      <c r="I2043" s="1">
        <v>858.08410655572015</v>
      </c>
      <c r="J2043" s="1">
        <v>115.99844393710202</v>
      </c>
      <c r="K2043" s="1">
        <v>8.7390127808916362E-2</v>
      </c>
      <c r="L2043" s="1">
        <v>97.142956539572438</v>
      </c>
      <c r="M2043" s="1">
        <v>1127.8554143633301</v>
      </c>
      <c r="N2043" s="1">
        <v>-14.696761805571471</v>
      </c>
      <c r="O2043" s="1">
        <v>4.1426424011678126E-7</v>
      </c>
    </row>
    <row r="2044" spans="1:15" x14ac:dyDescent="0.25">
      <c r="A2044">
        <v>5087.13</v>
      </c>
      <c r="B2044" s="1">
        <v>0.1</v>
      </c>
      <c r="C2044" s="1">
        <v>11.334915171613384</v>
      </c>
      <c r="D2044" s="1">
        <v>565.80000000000007</v>
      </c>
      <c r="E2044" s="1">
        <v>2337.4278669673122</v>
      </c>
      <c r="F2044" s="1">
        <v>993.87032987944315</v>
      </c>
      <c r="G2044" s="1">
        <v>6291.3515681283261</v>
      </c>
      <c r="H2044" s="1">
        <v>2.8159999999999998E-2</v>
      </c>
      <c r="I2044" s="1">
        <v>864.23506946038538</v>
      </c>
      <c r="J2044" s="1">
        <v>116.87139334836561</v>
      </c>
      <c r="K2044" s="1">
        <v>8.7378243285818183E-2</v>
      </c>
      <c r="L2044" s="1">
        <v>97.156776063989867</v>
      </c>
      <c r="M2044" s="1">
        <v>1133.4915171613829</v>
      </c>
      <c r="N2044" s="1">
        <v>-14.699871805571471</v>
      </c>
      <c r="O2044" s="1">
        <v>4.1297787965734978E-7</v>
      </c>
    </row>
    <row r="2045" spans="1:15" x14ac:dyDescent="0.25">
      <c r="A2045">
        <v>5098.5200000000004</v>
      </c>
      <c r="B2045" s="1">
        <v>0.1</v>
      </c>
      <c r="C2045" s="1">
        <v>11.391842512247244</v>
      </c>
      <c r="D2045" s="1">
        <v>565.9</v>
      </c>
      <c r="E2045" s="1">
        <v>2355.1067383855707</v>
      </c>
      <c r="F2045" s="1">
        <v>1001.0286310871803</v>
      </c>
      <c r="G2045" s="1">
        <v>6314.9026354104162</v>
      </c>
      <c r="H2045" s="1">
        <v>2.8159999999999998E-2</v>
      </c>
      <c r="I2045" s="1">
        <v>870.459679206244</v>
      </c>
      <c r="J2045" s="1">
        <v>117.75533691927853</v>
      </c>
      <c r="K2045" s="1">
        <v>8.7366358723124551E-2</v>
      </c>
      <c r="L2045" s="1">
        <v>97.17059939423261</v>
      </c>
      <c r="M2045" s="1">
        <v>1139.1842512247422</v>
      </c>
      <c r="N2045" s="1">
        <v>-14.70298180557147</v>
      </c>
      <c r="O2045" s="1">
        <v>4.1169551356448763E-7</v>
      </c>
    </row>
    <row r="2046" spans="1:15" x14ac:dyDescent="0.25">
      <c r="A2046">
        <v>5109.97</v>
      </c>
      <c r="B2046" s="1">
        <v>0.1</v>
      </c>
      <c r="C2046" s="1">
        <v>11.44934521901331</v>
      </c>
      <c r="D2046" s="1">
        <v>566</v>
      </c>
      <c r="E2046" s="1">
        <v>2373.0094865337837</v>
      </c>
      <c r="F2046" s="1">
        <v>1008.2730893159644</v>
      </c>
      <c r="G2046" s="1">
        <v>6338.632730170134</v>
      </c>
      <c r="H2046" s="1">
        <v>2.8159999999999998E-2</v>
      </c>
      <c r="I2046" s="1">
        <v>876.7592081008388</v>
      </c>
      <c r="J2046" s="1">
        <v>118.65047432668919</v>
      </c>
      <c r="K2046" s="1">
        <v>8.7354474023162917E-2</v>
      </c>
      <c r="L2046" s="1">
        <v>97.184426645525363</v>
      </c>
      <c r="M2046" s="1">
        <v>1144.9345219013594</v>
      </c>
      <c r="N2046" s="1">
        <v>-14.70609180557147</v>
      </c>
      <c r="O2046" s="1">
        <v>4.1041712943501172E-7</v>
      </c>
    </row>
    <row r="2047" spans="1:15" x14ac:dyDescent="0.25">
      <c r="A2047">
        <v>5121.4799999999996</v>
      </c>
      <c r="B2047" s="1">
        <v>0.1</v>
      </c>
      <c r="C2047" s="1">
        <v>11.507432545558663</v>
      </c>
      <c r="D2047" s="1">
        <v>566.1</v>
      </c>
      <c r="E2047" s="1">
        <v>2391.1402007618767</v>
      </c>
      <c r="F2047" s="1">
        <v>1015.6052011552529</v>
      </c>
      <c r="G2047" s="1">
        <v>6362.5441320681139</v>
      </c>
      <c r="H2047" s="1">
        <v>2.8159999999999998E-2</v>
      </c>
      <c r="I2047" s="1">
        <v>883.13495752630695</v>
      </c>
      <c r="J2047" s="1">
        <v>119.55701003809384</v>
      </c>
      <c r="K2047" s="1">
        <v>8.7342589086897238E-2</v>
      </c>
      <c r="L2047" s="1">
        <v>97.198257934804474</v>
      </c>
      <c r="M2047" s="1">
        <v>1150.7432545558913</v>
      </c>
      <c r="N2047" s="1">
        <v>-14.709201805571469</v>
      </c>
      <c r="O2047" s="1">
        <v>4.091427149042529E-7</v>
      </c>
    </row>
    <row r="2048" spans="1:15" x14ac:dyDescent="0.25">
      <c r="A2048">
        <v>5133.04</v>
      </c>
      <c r="B2048" s="1">
        <v>0.1</v>
      </c>
      <c r="C2048" s="1">
        <v>11.566113951367683</v>
      </c>
      <c r="D2048" s="1">
        <v>566.20000000000005</v>
      </c>
      <c r="E2048" s="1">
        <v>2409.5030691100305</v>
      </c>
      <c r="F2048" s="1">
        <v>1023.0264975871665</v>
      </c>
      <c r="G2048" s="1">
        <v>6386.6391626453787</v>
      </c>
      <c r="H2048" s="1">
        <v>2.8159999999999998E-2</v>
      </c>
      <c r="I2048" s="1">
        <v>889.58825877144943</v>
      </c>
      <c r="J2048" s="1">
        <v>120.47515345550153</v>
      </c>
      <c r="K2048" s="1">
        <v>8.7330703813898236E-2</v>
      </c>
      <c r="L2048" s="1">
        <v>97.212093380754723</v>
      </c>
      <c r="M2048" s="1">
        <v>1156.6113951367697</v>
      </c>
      <c r="N2048" s="1">
        <v>-14.712311805571469</v>
      </c>
      <c r="O2048" s="1">
        <v>4.0787225764593657E-7</v>
      </c>
    </row>
    <row r="2049" spans="1:15" x14ac:dyDescent="0.25">
      <c r="A2049">
        <v>5144.67</v>
      </c>
      <c r="B2049" s="1">
        <v>0.1</v>
      </c>
      <c r="C2049" s="1">
        <v>11.625399107625482</v>
      </c>
      <c r="D2049" s="1">
        <v>566.30000000000007</v>
      </c>
      <c r="E2049" s="1">
        <v>2428.1023812833701</v>
      </c>
      <c r="F2049" s="1">
        <v>1030.538544976386</v>
      </c>
      <c r="G2049" s="1">
        <v>6410.9201863399967</v>
      </c>
      <c r="H2049" s="1">
        <v>2.8159999999999998E-2</v>
      </c>
      <c r="I2049" s="1">
        <v>896.12047389250972</v>
      </c>
      <c r="J2049" s="1">
        <v>121.4051190641685</v>
      </c>
      <c r="K2049" s="1">
        <v>8.7318818102314996E-2</v>
      </c>
      <c r="L2049" s="1">
        <v>97.225933103844895</v>
      </c>
      <c r="M2049" s="1">
        <v>1162.5399107625526</v>
      </c>
      <c r="N2049" s="1">
        <v>-14.715421805571472</v>
      </c>
      <c r="O2049" s="1">
        <v>4.0660574537206159E-7</v>
      </c>
    </row>
    <row r="2050" spans="1:15" x14ac:dyDescent="0.25">
      <c r="A2050">
        <v>5156.3500000000004</v>
      </c>
      <c r="B2050" s="1">
        <v>0.1</v>
      </c>
      <c r="C2050" s="1">
        <v>11.685297903288737</v>
      </c>
      <c r="D2050" s="1">
        <v>566.4</v>
      </c>
      <c r="E2050" s="1">
        <v>2446.9425317416249</v>
      </c>
      <c r="F2050" s="1">
        <v>1038.1429460945053</v>
      </c>
      <c r="G2050" s="1">
        <v>6435.3896115346242</v>
      </c>
      <c r="H2050" s="1">
        <v>2.8159999999999998E-2</v>
      </c>
      <c r="I2050" s="1">
        <v>902.73299660391785</v>
      </c>
      <c r="J2050" s="1">
        <v>122.34712658708125</v>
      </c>
      <c r="K2050" s="1">
        <v>8.7306931848843666E-2</v>
      </c>
      <c r="L2050" s="1">
        <v>97.239777226366527</v>
      </c>
      <c r="M2050" s="1">
        <v>1168.5297903288301</v>
      </c>
      <c r="N2050" s="1">
        <v>-14.718531805571471</v>
      </c>
      <c r="O2050" s="1">
        <v>4.053431658327877E-7</v>
      </c>
    </row>
    <row r="2051" spans="1:15" x14ac:dyDescent="0.25">
      <c r="A2051">
        <v>5168.1000000000004</v>
      </c>
      <c r="B2051" s="1">
        <v>0.1</v>
      </c>
      <c r="C2051" s="1">
        <v>11.745820451363429</v>
      </c>
      <c r="D2051" s="1">
        <v>566.5</v>
      </c>
      <c r="E2051" s="1">
        <v>2466.0280228957722</v>
      </c>
      <c r="F2051" s="1">
        <v>1045.8413411800716</v>
      </c>
      <c r="G2051" s="1">
        <v>6460.0498916360175</v>
      </c>
      <c r="H2051" s="1">
        <v>2.8159999999999998E-2</v>
      </c>
      <c r="I2051" s="1">
        <v>909.42725320006241</v>
      </c>
      <c r="J2051" s="1">
        <v>123.30140114478861</v>
      </c>
      <c r="K2051" s="1">
        <v>8.7295044948697123E-2</v>
      </c>
      <c r="L2051" s="1">
        <v>97.25362587247173</v>
      </c>
      <c r="M2051" s="1">
        <v>1174.5820451363215</v>
      </c>
      <c r="N2051" s="1">
        <v>-14.721641805571471</v>
      </c>
      <c r="O2051" s="1">
        <v>4.0408450681630803E-7</v>
      </c>
    </row>
    <row r="2052" spans="1:15" x14ac:dyDescent="0.25">
      <c r="A2052">
        <v>5179.91</v>
      </c>
      <c r="B2052" s="1">
        <v>0.1</v>
      </c>
      <c r="C2052" s="1">
        <v>11.806977095410865</v>
      </c>
      <c r="D2052" s="1">
        <v>566.6</v>
      </c>
      <c r="E2052" s="1">
        <v>2485.3634684273816</v>
      </c>
      <c r="F2052" s="1">
        <v>1053.6354090359948</v>
      </c>
      <c r="G2052" s="1">
        <v>6484.903526187737</v>
      </c>
      <c r="H2052" s="1">
        <v>2.8159999999999998E-2</v>
      </c>
      <c r="I2052" s="1">
        <v>916.20470350956089</v>
      </c>
      <c r="J2052" s="1">
        <v>124.26817342136908</v>
      </c>
      <c r="K2052" s="1">
        <v>8.7283157295572372E-2</v>
      </c>
      <c r="L2052" s="1">
        <v>97.267479168213754</v>
      </c>
      <c r="M2052" s="1">
        <v>1180.697709541073</v>
      </c>
      <c r="N2052" s="1">
        <v>-14.72475180557147</v>
      </c>
      <c r="O2052" s="1">
        <v>4.0282975614873695E-7</v>
      </c>
    </row>
    <row r="2053" spans="1:15" x14ac:dyDescent="0.25">
      <c r="A2053">
        <v>5191.7700000000004</v>
      </c>
      <c r="B2053" s="1">
        <v>0.1</v>
      </c>
      <c r="C2053" s="1">
        <v>11.868778416276289</v>
      </c>
      <c r="D2053" s="1">
        <v>566.70000000000005</v>
      </c>
      <c r="E2053" s="1">
        <v>2504.9535967254678</v>
      </c>
      <c r="F2053" s="1">
        <v>1061.5268681656196</v>
      </c>
      <c r="G2053" s="1">
        <v>6509.9530620172218</v>
      </c>
      <c r="H2053" s="1">
        <v>2.8159999999999998E-2</v>
      </c>
      <c r="I2053" s="1">
        <v>923.06684188314773</v>
      </c>
      <c r="J2053" s="1">
        <v>125.24767983627339</v>
      </c>
      <c r="K2053" s="1">
        <v>8.7271268781618436E-2</v>
      </c>
      <c r="L2053" s="1">
        <v>97.281337241586897</v>
      </c>
      <c r="M2053" s="1">
        <v>1186.8778416276655</v>
      </c>
      <c r="N2053" s="1">
        <v>-14.72786180557147</v>
      </c>
      <c r="O2053" s="1">
        <v>4.0157890169399067E-7</v>
      </c>
    </row>
    <row r="2054" spans="1:15" x14ac:dyDescent="0.25">
      <c r="A2054">
        <v>5203.71</v>
      </c>
      <c r="B2054" s="1">
        <v>0.1</v>
      </c>
      <c r="C2054" s="1">
        <v>11.931235239066327</v>
      </c>
      <c r="D2054" s="1">
        <v>566.80000000000007</v>
      </c>
      <c r="E2054" s="1">
        <v>2524.8032544564312</v>
      </c>
      <c r="F2054" s="1">
        <v>1069.5174779493364</v>
      </c>
      <c r="G2054" s="1">
        <v>6535.2010944185713</v>
      </c>
      <c r="H2054" s="1">
        <v>2.8159999999999998E-2</v>
      </c>
      <c r="I2054" s="1">
        <v>930.0151982168145</v>
      </c>
      <c r="J2054" s="1">
        <v>126.24016272282157</v>
      </c>
      <c r="K2054" s="1">
        <v>8.7259379297402059E-2</v>
      </c>
      <c r="L2054" s="1">
        <v>97.29520022256915</v>
      </c>
      <c r="M2054" s="1">
        <v>1193.1235239066154</v>
      </c>
      <c r="N2054" s="1">
        <v>-14.730971805571469</v>
      </c>
      <c r="O2054" s="1">
        <v>4.0033193135367009E-7</v>
      </c>
    </row>
    <row r="2055" spans="1:15" x14ac:dyDescent="0.25">
      <c r="A2055">
        <v>5215.7</v>
      </c>
      <c r="B2055" s="1">
        <v>0.1</v>
      </c>
      <c r="C2055" s="1">
        <v>11.994358640368638</v>
      </c>
      <c r="D2055" s="1">
        <v>566.9</v>
      </c>
      <c r="E2055" s="1">
        <v>2544.9174102656348</v>
      </c>
      <c r="F2055" s="1">
        <v>1077.6090398631654</v>
      </c>
      <c r="G2055" s="1">
        <v>6560.6502683723147</v>
      </c>
      <c r="H2055" s="1">
        <v>2.8159999999999998E-2</v>
      </c>
      <c r="I2055" s="1">
        <v>937.05133901144825</v>
      </c>
      <c r="J2055" s="1">
        <v>127.24587051328174</v>
      </c>
      <c r="K2055" s="1">
        <v>8.7247488731873171E-2</v>
      </c>
      <c r="L2055" s="1">
        <v>97.309068243165214</v>
      </c>
      <c r="M2055" s="1">
        <v>1199.4358640368773</v>
      </c>
      <c r="N2055" s="1">
        <v>-14.734081805571469</v>
      </c>
      <c r="O2055" s="1">
        <v>3.9908883306694362E-7</v>
      </c>
    </row>
    <row r="2056" spans="1:15" x14ac:dyDescent="0.25">
      <c r="A2056">
        <v>5227.76</v>
      </c>
      <c r="B2056" s="1">
        <v>0.1</v>
      </c>
      <c r="C2056" s="1">
        <v>12.058159955740535</v>
      </c>
      <c r="D2056" s="1">
        <v>567</v>
      </c>
      <c r="E2056" s="1">
        <v>2565.301158617528</v>
      </c>
      <c r="F2056" s="1">
        <v>1085.8033987413323</v>
      </c>
      <c r="G2056" s="1">
        <v>6586.3032798036247</v>
      </c>
      <c r="H2056" s="1">
        <v>2.8159999999999998E-2</v>
      </c>
      <c r="I2056" s="1">
        <v>944.17686847072389</v>
      </c>
      <c r="J2056" s="1">
        <v>128.2650579308764</v>
      </c>
      <c r="K2056" s="1">
        <v>8.7235596972329382E-2</v>
      </c>
      <c r="L2056" s="1">
        <v>97.322941437450609</v>
      </c>
      <c r="M2056" s="1">
        <v>1205.8159955740848</v>
      </c>
      <c r="N2056" s="1">
        <v>-14.737191805571472</v>
      </c>
      <c r="O2056" s="1">
        <v>3.9784959481042931E-7</v>
      </c>
    </row>
    <row r="2057" spans="1:15" x14ac:dyDescent="0.25">
      <c r="A2057">
        <v>5239.88</v>
      </c>
      <c r="B2057" s="1">
        <v>0.1</v>
      </c>
      <c r="C2057" s="1">
        <v>12.122650787462542</v>
      </c>
      <c r="D2057" s="1">
        <v>567.1</v>
      </c>
      <c r="E2057" s="1">
        <v>2585.9597237841926</v>
      </c>
      <c r="F2057" s="1">
        <v>1094.1024440844587</v>
      </c>
      <c r="G2057" s="1">
        <v>6612.162876880373</v>
      </c>
      <c r="H2057" s="1">
        <v>2.8159999999999998E-2</v>
      </c>
      <c r="I2057" s="1">
        <v>951.39342963865977</v>
      </c>
      <c r="J2057" s="1">
        <v>129.29798618920964</v>
      </c>
      <c r="K2057" s="1">
        <v>8.7223703904379057E-2</v>
      </c>
      <c r="L2057" s="1">
        <v>97.336819941617605</v>
      </c>
      <c r="M2057" s="1">
        <v>1212.265078746259</v>
      </c>
      <c r="N2057" s="1">
        <v>-14.740301805571471</v>
      </c>
      <c r="O2057" s="1">
        <v>3.9661420459808393E-7</v>
      </c>
    </row>
    <row r="2058" spans="1:15" x14ac:dyDescent="0.25">
      <c r="A2058">
        <v>5252.07</v>
      </c>
      <c r="B2058" s="1">
        <v>0.1</v>
      </c>
      <c r="C2058" s="1">
        <v>12.187843012579828</v>
      </c>
      <c r="D2058" s="1">
        <v>567.20000000000005</v>
      </c>
      <c r="E2058" s="1">
        <v>2606.8984639817659</v>
      </c>
      <c r="F2058" s="1">
        <v>1102.5081114154459</v>
      </c>
      <c r="G2058" s="1">
        <v>6638.2318613525858</v>
      </c>
      <c r="H2058" s="1">
        <v>2.8159999999999998E-2</v>
      </c>
      <c r="I2058" s="1">
        <v>958.70270557864899</v>
      </c>
      <c r="J2058" s="1">
        <v>130.3449231990883</v>
      </c>
      <c r="K2058" s="1">
        <v>8.7211809411904248E-2</v>
      </c>
      <c r="L2058" s="1">
        <v>97.350703894021336</v>
      </c>
      <c r="M2058" s="1">
        <v>1218.7843012579833</v>
      </c>
      <c r="N2058" s="1">
        <v>-14.743411805571471</v>
      </c>
      <c r="O2058" s="1">
        <v>3.9538265048107873E-7</v>
      </c>
    </row>
    <row r="2059" spans="1:15" x14ac:dyDescent="0.25">
      <c r="A2059">
        <v>5264.32</v>
      </c>
      <c r="B2059" s="1">
        <v>0.1</v>
      </c>
      <c r="C2059" s="1">
        <v>12.253748791241378</v>
      </c>
      <c r="D2059" s="1">
        <v>567.30000000000007</v>
      </c>
      <c r="E2059" s="1">
        <v>2628.1228756737996</v>
      </c>
      <c r="F2059" s="1">
        <v>1111.0223836851339</v>
      </c>
      <c r="G2059" s="1">
        <v>6664.5130899349024</v>
      </c>
      <c r="H2059" s="1">
        <v>2.8159999999999998E-2</v>
      </c>
      <c r="I2059" s="1">
        <v>966.10642059576867</v>
      </c>
      <c r="J2059" s="1">
        <v>131.40614378369</v>
      </c>
      <c r="K2059" s="1">
        <v>8.7199913377020905E-2</v>
      </c>
      <c r="L2059" s="1">
        <v>97.364593435229295</v>
      </c>
      <c r="M2059" s="1">
        <v>1225.3748791241378</v>
      </c>
      <c r="N2059" s="1">
        <v>-14.74652180557147</v>
      </c>
      <c r="O2059" s="1">
        <v>3.9415492054768957E-7</v>
      </c>
    </row>
    <row r="2060" spans="1:15" x14ac:dyDescent="0.25">
      <c r="A2060">
        <v>5276.64</v>
      </c>
      <c r="B2060" s="1">
        <v>0.1</v>
      </c>
      <c r="C2060" s="1">
        <v>12.320380575342107</v>
      </c>
      <c r="D2060" s="1">
        <v>567.4</v>
      </c>
      <c r="E2060" s="1">
        <v>2649.6385980294244</v>
      </c>
      <c r="F2060" s="1">
        <v>1119.6472927296843</v>
      </c>
      <c r="G2060" s="1">
        <v>6691.009475733641</v>
      </c>
      <c r="H2060" s="1">
        <v>2.8159999999999998E-2</v>
      </c>
      <c r="I2060" s="1">
        <v>973.60634150407361</v>
      </c>
      <c r="J2060" s="1">
        <v>132.48192990147123</v>
      </c>
      <c r="K2060" s="1">
        <v>8.7188015680040393E-2</v>
      </c>
      <c r="L2060" s="1">
        <v>97.378488708069199</v>
      </c>
      <c r="M2060" s="1">
        <v>1232.0380575341915</v>
      </c>
      <c r="N2060" s="1">
        <v>-14.74963180557147</v>
      </c>
      <c r="O2060" s="1">
        <v>3.929310029231802E-7</v>
      </c>
    </row>
    <row r="2061" spans="1:15" x14ac:dyDescent="0.25">
      <c r="A2061">
        <v>5289.03</v>
      </c>
      <c r="B2061" s="1">
        <v>0.1</v>
      </c>
      <c r="C2061" s="1">
        <v>12.387751117496954</v>
      </c>
      <c r="D2061" s="1">
        <v>567.5</v>
      </c>
      <c r="E2061" s="1">
        <v>2671.4514175688373</v>
      </c>
      <c r="F2061" s="1">
        <v>1128.3849207822316</v>
      </c>
      <c r="G2061" s="1">
        <v>6717.7239897203044</v>
      </c>
      <c r="H2061" s="1">
        <v>2.8159999999999998E-2</v>
      </c>
      <c r="I2061" s="1">
        <v>981.20427894107115</v>
      </c>
      <c r="J2061" s="1">
        <v>133.57257087844187</v>
      </c>
      <c r="K2061" s="1">
        <v>8.7176116199427015E-2</v>
      </c>
      <c r="L2061" s="1">
        <v>97.392389857681735</v>
      </c>
      <c r="M2061" s="1">
        <v>1238.7751117496919</v>
      </c>
      <c r="N2061" s="1">
        <v>-14.752741805571469</v>
      </c>
      <c r="O2061" s="1">
        <v>3.9171088576968744E-7</v>
      </c>
    </row>
    <row r="2062" spans="1:15" x14ac:dyDescent="0.25">
      <c r="A2062">
        <v>5301.49</v>
      </c>
      <c r="B2062" s="1">
        <v>0.1</v>
      </c>
      <c r="C2062" s="1">
        <v>12.455873480342598</v>
      </c>
      <c r="D2062" s="1">
        <v>567.6</v>
      </c>
      <c r="E2062" s="1">
        <v>2693.5672729779812</v>
      </c>
      <c r="F2062" s="1">
        <v>1137.2374020408572</v>
      </c>
      <c r="G2062" s="1">
        <v>6744.6596622532406</v>
      </c>
      <c r="H2062" s="1">
        <v>2.8159999999999998E-2</v>
      </c>
      <c r="I2062" s="1">
        <v>988.90208873118036</v>
      </c>
      <c r="J2062" s="1">
        <v>134.67836364889908</v>
      </c>
      <c r="K2062" s="1">
        <v>8.716421481175704E-2</v>
      </c>
      <c r="L2062" s="1">
        <v>97.406297031571668</v>
      </c>
      <c r="M2062" s="1">
        <v>1245.5873480342234</v>
      </c>
      <c r="N2062" s="1">
        <v>-14.755851805571469</v>
      </c>
      <c r="O2062" s="1">
        <v>3.9049455728610662E-7</v>
      </c>
    </row>
    <row r="2063" spans="1:15" x14ac:dyDescent="0.25">
      <c r="A2063">
        <v>5314.01</v>
      </c>
      <c r="B2063" s="1">
        <v>0.1</v>
      </c>
      <c r="C2063" s="1">
        <v>12.524761046197488</v>
      </c>
      <c r="D2063" s="1">
        <v>567.70000000000005</v>
      </c>
      <c r="E2063" s="1">
        <v>2715.9922601230678</v>
      </c>
      <c r="F2063" s="1">
        <v>1146.2069242955802</v>
      </c>
      <c r="G2063" s="1">
        <v>6771.8195846494336</v>
      </c>
      <c r="H2063" s="1">
        <v>2.8159999999999998E-2</v>
      </c>
      <c r="I2063" s="1">
        <v>996.70167330050469</v>
      </c>
      <c r="J2063" s="1">
        <v>135.79961300615341</v>
      </c>
      <c r="K2063" s="1">
        <v>8.715231139167437E-2</v>
      </c>
      <c r="L2063" s="1">
        <v>97.420210379662777</v>
      </c>
      <c r="M2063" s="1">
        <v>1252.4761046197455</v>
      </c>
      <c r="N2063" s="1">
        <v>-14.758961805571472</v>
      </c>
      <c r="O2063" s="1">
        <v>3.8928200570797615E-7</v>
      </c>
    </row>
    <row r="2064" spans="1:15" x14ac:dyDescent="0.25">
      <c r="A2064">
        <v>5326.61</v>
      </c>
      <c r="B2064" s="1">
        <v>0.1</v>
      </c>
      <c r="C2064" s="1">
        <v>12.594427527085928</v>
      </c>
      <c r="D2064" s="1">
        <v>567.80000000000007</v>
      </c>
      <c r="E2064" s="1">
        <v>2738.7326372562802</v>
      </c>
      <c r="F2064" s="1">
        <v>1155.2957306168441</v>
      </c>
      <c r="G2064" s="1">
        <v>6799.2069108083761</v>
      </c>
      <c r="H2064" s="1">
        <v>2.8159999999999998E-2</v>
      </c>
      <c r="I2064" s="1">
        <v>1004.6049831450821</v>
      </c>
      <c r="J2064" s="1">
        <v>136.93663186281401</v>
      </c>
      <c r="K2064" s="1">
        <v>8.714040581184665E-2</v>
      </c>
      <c r="L2064" s="1">
        <v>97.434130054352579</v>
      </c>
      <c r="M2064" s="1">
        <v>1259.4427527085827</v>
      </c>
      <c r="N2064" s="1">
        <v>-14.762071805571471</v>
      </c>
      <c r="O2064" s="1">
        <v>3.8807321930736918E-7</v>
      </c>
    </row>
    <row r="2065" spans="1:15" x14ac:dyDescent="0.25">
      <c r="A2065">
        <v>5339.27</v>
      </c>
      <c r="B2065" s="1">
        <v>0.1</v>
      </c>
      <c r="C2065" s="1">
        <v>12.664887002566889</v>
      </c>
      <c r="D2065" s="1">
        <v>567.9</v>
      </c>
      <c r="E2065" s="1">
        <v>2761.79483642478</v>
      </c>
      <c r="F2065" s="1">
        <v>1164.5061219276135</v>
      </c>
      <c r="G2065" s="1">
        <v>6826.8248591127558</v>
      </c>
      <c r="H2065" s="1">
        <v>2.8159999999999998E-2</v>
      </c>
      <c r="I2065" s="1">
        <v>1012.6140190674903</v>
      </c>
      <c r="J2065" s="1">
        <v>138.08974182123902</v>
      </c>
      <c r="K2065" s="1">
        <v>8.712849794152866E-2</v>
      </c>
      <c r="L2065" s="1">
        <v>97.44805621219605</v>
      </c>
      <c r="M2065" s="1">
        <v>1266.4887002566502</v>
      </c>
      <c r="N2065" s="1">
        <v>-14.765181805571471</v>
      </c>
      <c r="O2065" s="1">
        <v>3.868681863927721E-7</v>
      </c>
    </row>
    <row r="2066" spans="1:15" x14ac:dyDescent="0.25">
      <c r="A2066">
        <v>5352.01</v>
      </c>
      <c r="B2066" s="1">
        <v>0.1</v>
      </c>
      <c r="C2066" s="1">
        <v>12.736153823641635</v>
      </c>
      <c r="D2066" s="1">
        <v>568</v>
      </c>
      <c r="E2066" s="1">
        <v>2785.1854457935142</v>
      </c>
      <c r="F2066" s="1">
        <v>1173.8404563483091</v>
      </c>
      <c r="G2066" s="1">
        <v>6854.67671350811</v>
      </c>
      <c r="H2066" s="1">
        <v>2.8159999999999998E-2</v>
      </c>
      <c r="I2066" s="1">
        <v>1020.7308316072257</v>
      </c>
      <c r="J2066" s="1">
        <v>139.25927228967572</v>
      </c>
      <c r="K2066" s="1">
        <v>8.7116587651762292E-2</v>
      </c>
      <c r="L2066" s="1">
        <v>97.461989007827484</v>
      </c>
      <c r="M2066" s="1">
        <v>1273.6153823641871</v>
      </c>
      <c r="N2066" s="1">
        <v>-14.76829180557147</v>
      </c>
      <c r="O2066" s="1">
        <v>3.856668953089766E-7</v>
      </c>
    </row>
    <row r="2067" spans="1:15" x14ac:dyDescent="0.25">
      <c r="A2067">
        <v>5364.81</v>
      </c>
      <c r="B2067" s="1">
        <v>0.1</v>
      </c>
      <c r="C2067" s="1">
        <v>12.80824278025457</v>
      </c>
      <c r="D2067" s="1">
        <v>568.1</v>
      </c>
      <c r="E2067" s="1">
        <v>2808.911249535573</v>
      </c>
      <c r="F2067" s="1">
        <v>1183.3011535825601</v>
      </c>
      <c r="G2067" s="1">
        <v>6882.7658259380332</v>
      </c>
      <c r="H2067" s="1">
        <v>2.8159999999999998E-2</v>
      </c>
      <c r="I2067" s="1">
        <v>1028.9575248544002</v>
      </c>
      <c r="J2067" s="1">
        <v>140.44556247677866</v>
      </c>
      <c r="K2067" s="1">
        <v>8.710467480792948E-2</v>
      </c>
      <c r="L2067" s="1">
        <v>97.475928602673164</v>
      </c>
      <c r="M2067" s="1">
        <v>1280.8242780254659</v>
      </c>
      <c r="N2067" s="1">
        <v>-14.77140180557147</v>
      </c>
      <c r="O2067" s="1">
        <v>3.8446933443696574E-7</v>
      </c>
    </row>
    <row r="2068" spans="1:15" x14ac:dyDescent="0.25">
      <c r="A2068">
        <v>5377.7</v>
      </c>
      <c r="B2068" s="1">
        <v>0.1</v>
      </c>
      <c r="C2068" s="1">
        <v>12.881169011477606</v>
      </c>
      <c r="D2068" s="1">
        <v>568.20000000000005</v>
      </c>
      <c r="E2068" s="1">
        <v>2832.9792118669593</v>
      </c>
      <c r="F2068" s="1">
        <v>1192.8906960408151</v>
      </c>
      <c r="G2068" s="1">
        <v>6911.0956179882669</v>
      </c>
      <c r="H2068" s="1">
        <v>2.8159999999999998E-2</v>
      </c>
      <c r="I2068" s="1">
        <v>1037.296257426796</v>
      </c>
      <c r="J2068" s="1">
        <v>141.64896059334797</v>
      </c>
      <c r="K2068" s="1">
        <v>8.7092759274315798E-2</v>
      </c>
      <c r="L2068" s="1">
        <v>97.489875159618435</v>
      </c>
      <c r="M2068" s="1">
        <v>1288.116901147805</v>
      </c>
      <c r="N2068" s="1">
        <v>-14.774511805571469</v>
      </c>
      <c r="O2068" s="1">
        <v>3.832754921938017E-7</v>
      </c>
    </row>
    <row r="2069" spans="1:15" x14ac:dyDescent="0.25">
      <c r="A2069">
        <v>5390.65</v>
      </c>
      <c r="B2069" s="1">
        <v>0.1</v>
      </c>
      <c r="C2069" s="1">
        <v>12.954948042348775</v>
      </c>
      <c r="D2069" s="1">
        <v>568.30000000000007</v>
      </c>
      <c r="E2069" s="1">
        <v>2857.3964887666834</v>
      </c>
      <c r="F2069" s="1">
        <v>1202.6116308807195</v>
      </c>
      <c r="G2069" s="1">
        <v>6939.6695828043457</v>
      </c>
      <c r="H2069" s="1">
        <v>2.8159999999999998E-2</v>
      </c>
      <c r="I2069" s="1">
        <v>1045.7492442441041</v>
      </c>
      <c r="J2069" s="1">
        <v>142.86982443833418</v>
      </c>
      <c r="K2069" s="1">
        <v>8.7080840912985694E-2</v>
      </c>
      <c r="L2069" s="1">
        <v>97.503828844326733</v>
      </c>
      <c r="M2069" s="1">
        <v>1295.4948042348406</v>
      </c>
      <c r="N2069" s="1">
        <v>-14.777621805571467</v>
      </c>
      <c r="O2069" s="1">
        <v>3.8208535703251372E-7</v>
      </c>
    </row>
    <row r="2070" spans="1:15" x14ac:dyDescent="0.25">
      <c r="A2070">
        <v>5403.68</v>
      </c>
      <c r="B2070" s="1">
        <v>0.1</v>
      </c>
      <c r="C2070" s="1">
        <v>13.02959579648156</v>
      </c>
      <c r="D2070" s="1">
        <v>568.4</v>
      </c>
      <c r="E2070" s="1">
        <v>2882.1704345940002</v>
      </c>
      <c r="F2070" s="1">
        <v>1212.4665721276444</v>
      </c>
      <c r="G2070" s="1">
        <v>6968.4912870753733</v>
      </c>
      <c r="H2070" s="1">
        <v>2.8159999999999998E-2</v>
      </c>
      <c r="I2070" s="1">
        <v>1054.3187583718652</v>
      </c>
      <c r="J2070" s="1">
        <v>144.10852172970002</v>
      </c>
      <c r="K2070" s="1">
        <v>8.706891958372906E-2</v>
      </c>
      <c r="L2070" s="1">
        <v>97.517789825306167</v>
      </c>
      <c r="M2070" s="1">
        <v>1302.9595796481772</v>
      </c>
      <c r="N2070" s="1">
        <v>-14.78073180557147</v>
      </c>
      <c r="O2070" s="1">
        <v>3.8089891744198477E-7</v>
      </c>
    </row>
    <row r="2071" spans="1:15" x14ac:dyDescent="0.25">
      <c r="A2071">
        <v>5416.79</v>
      </c>
      <c r="B2071" s="1">
        <v>0.1</v>
      </c>
      <c r="C2071" s="1">
        <v>13.105128609182238</v>
      </c>
      <c r="D2071" s="1">
        <v>568.5</v>
      </c>
      <c r="E2071" s="1">
        <v>2907.308608976633</v>
      </c>
      <c r="F2071" s="1">
        <v>1222.458202879217</v>
      </c>
      <c r="G2071" s="1">
        <v>6997.5643730867287</v>
      </c>
      <c r="H2071" s="1">
        <v>2.8159999999999998E-2</v>
      </c>
      <c r="I2071" s="1">
        <v>1063.0071329384498</v>
      </c>
      <c r="J2071" s="1">
        <v>145.36543044883166</v>
      </c>
      <c r="K2071" s="1">
        <v>8.7056995144006818E-2</v>
      </c>
      <c r="L2071" s="1">
        <v>97.531758273977033</v>
      </c>
      <c r="M2071" s="1">
        <v>1310.5128609182429</v>
      </c>
      <c r="N2071" s="1">
        <v>-14.78384180557147</v>
      </c>
      <c r="O2071" s="1">
        <v>3.7971616194684595E-7</v>
      </c>
    </row>
    <row r="2072" spans="1:15" x14ac:dyDescent="0.25">
      <c r="A2072">
        <v>5429.97</v>
      </c>
      <c r="B2072" s="1">
        <v>0.1</v>
      </c>
      <c r="C2072" s="1">
        <v>13.181563241095535</v>
      </c>
      <c r="D2072" s="1">
        <v>568.6</v>
      </c>
      <c r="E2072" s="1">
        <v>2932.8187839947618</v>
      </c>
      <c r="F2072" s="1">
        <v>1232.5892775977795</v>
      </c>
      <c r="G2072" s="1">
        <v>7026.8925608445807</v>
      </c>
      <c r="H2072" s="1">
        <v>2.8159999999999998E-2</v>
      </c>
      <c r="I2072" s="1">
        <v>1071.8167631285041</v>
      </c>
      <c r="J2072" s="1">
        <v>146.64093919973809</v>
      </c>
      <c r="K2072" s="1">
        <v>8.7045067448893579E-2</v>
      </c>
      <c r="L2072" s="1">
        <v>97.545734364743126</v>
      </c>
      <c r="M2072" s="1">
        <v>1318.1563241095319</v>
      </c>
      <c r="N2072" s="1">
        <v>-14.786951805571471</v>
      </c>
      <c r="O2072" s="1">
        <v>3.7853707910735724E-7</v>
      </c>
    </row>
    <row r="2073" spans="1:15" x14ac:dyDescent="0.25">
      <c r="A2073">
        <v>5443.23</v>
      </c>
      <c r="B2073" s="1">
        <v>0.1</v>
      </c>
      <c r="C2073" s="1">
        <v>13.258916892402636</v>
      </c>
      <c r="D2073" s="1">
        <v>568.70000000000005</v>
      </c>
      <c r="E2073" s="1">
        <v>2958.7089516662336</v>
      </c>
      <c r="F2073" s="1">
        <v>1242.8626244948807</v>
      </c>
      <c r="G2073" s="1">
        <v>7056.479650275267</v>
      </c>
      <c r="H2073" s="1">
        <v>2.8159999999999998E-2</v>
      </c>
      <c r="I2073" s="1">
        <v>1080.7501082564183</v>
      </c>
      <c r="J2073" s="1">
        <v>147.93544758331169</v>
      </c>
      <c r="K2073" s="1">
        <v>8.7033136351018975E-2</v>
      </c>
      <c r="L2073" s="1">
        <v>97.559718275064697</v>
      </c>
      <c r="M2073" s="1">
        <v>1325.891689240234</v>
      </c>
      <c r="N2073" s="1">
        <v>-14.790061805571471</v>
      </c>
      <c r="O2073" s="1">
        <v>3.7736165751930241E-7</v>
      </c>
    </row>
    <row r="2074" spans="1:15" x14ac:dyDescent="0.25">
      <c r="A2074">
        <v>5456.56</v>
      </c>
      <c r="B2074" s="1">
        <v>0.1</v>
      </c>
      <c r="C2074" s="1">
        <v>13.337207217595129</v>
      </c>
      <c r="D2074" s="1">
        <v>568.80000000000007</v>
      </c>
      <c r="E2074" s="1">
        <v>2984.9873317441934</v>
      </c>
      <c r="F2074" s="1">
        <v>1253.2811480120363</v>
      </c>
      <c r="G2074" s="1">
        <v>7086.3295235026435</v>
      </c>
      <c r="H2074" s="1">
        <v>2.8159999999999998E-2</v>
      </c>
      <c r="I2074" s="1">
        <v>1089.8096939235102</v>
      </c>
      <c r="J2074" s="1">
        <v>149.24936658720966</v>
      </c>
      <c r="K2074" s="1">
        <v>8.7021201700508075E-2</v>
      </c>
      <c r="L2074" s="1">
        <v>97.573710185532505</v>
      </c>
      <c r="M2074" s="1">
        <v>1333.7207217595278</v>
      </c>
      <c r="N2074" s="1">
        <v>-14.79317180557147</v>
      </c>
      <c r="O2074" s="1">
        <v>3.761898858138771E-7</v>
      </c>
    </row>
    <row r="2075" spans="1:15" x14ac:dyDescent="0.25">
      <c r="A2075">
        <v>5469.98</v>
      </c>
      <c r="B2075" s="1">
        <v>0.1</v>
      </c>
      <c r="C2075" s="1">
        <v>13.416452340861877</v>
      </c>
      <c r="D2075" s="1">
        <v>568.9</v>
      </c>
      <c r="E2075" s="1">
        <v>3011.6623798576379</v>
      </c>
      <c r="F2075" s="1">
        <v>1263.847831402519</v>
      </c>
      <c r="G2075" s="1">
        <v>7116.4461472068406</v>
      </c>
      <c r="H2075" s="1">
        <v>2.8159999999999998E-2</v>
      </c>
      <c r="I2075" s="1">
        <v>1098.9981142630602</v>
      </c>
      <c r="J2075" s="1">
        <v>150.58311899288191</v>
      </c>
      <c r="K2075" s="1">
        <v>8.7009263344918417E-2</v>
      </c>
      <c r="L2075" s="1">
        <v>97.58771027994608</v>
      </c>
      <c r="M2075" s="1">
        <v>1341.6452340861724</v>
      </c>
      <c r="N2075" s="1">
        <v>-14.79628180557147</v>
      </c>
      <c r="O2075" s="1">
        <v>3.7502175265757908E-7</v>
      </c>
    </row>
    <row r="2076" spans="1:15" x14ac:dyDescent="0.25">
      <c r="A2076">
        <v>5483.48</v>
      </c>
      <c r="B2076" s="1">
        <v>0.1</v>
      </c>
      <c r="C2076" s="1">
        <v>13.496670872111002</v>
      </c>
      <c r="D2076" s="1">
        <v>569</v>
      </c>
      <c r="E2076" s="1">
        <v>3038.7427959967627</v>
      </c>
      <c r="F2076" s="1">
        <v>1274.565739418945</v>
      </c>
      <c r="G2076" s="1">
        <v>7146.8335750678798</v>
      </c>
      <c r="H2076" s="1">
        <v>2.8159999999999998E-2</v>
      </c>
      <c r="I2076" s="1">
        <v>1108.3180342773437</v>
      </c>
      <c r="J2076" s="1">
        <v>151.93713979983815</v>
      </c>
      <c r="K2076" s="1">
        <v>8.6997321129176061E-2</v>
      </c>
      <c r="L2076" s="1">
        <v>97.601718745393214</v>
      </c>
      <c r="M2076" s="1">
        <v>1349.6670872111281</v>
      </c>
      <c r="N2076" s="1">
        <v>-14.799391805571469</v>
      </c>
      <c r="O2076" s="1">
        <v>3.7385724675209856E-7</v>
      </c>
    </row>
    <row r="2077" spans="1:15" x14ac:dyDescent="0.25">
      <c r="A2077">
        <v>5497.05</v>
      </c>
      <c r="B2077" s="1">
        <v>0.1</v>
      </c>
      <c r="C2077" s="1">
        <v>13.577881923657579</v>
      </c>
      <c r="D2077" s="1">
        <v>569.1</v>
      </c>
      <c r="E2077" s="1">
        <v>3066.2375333680102</v>
      </c>
      <c r="F2077" s="1">
        <v>1285.4380211116786</v>
      </c>
      <c r="G2077" s="1">
        <v>7177.49595029784</v>
      </c>
      <c r="H2077" s="1">
        <v>2.8159999999999998E-2</v>
      </c>
      <c r="I2077" s="1">
        <v>1117.7721922710252</v>
      </c>
      <c r="J2077" s="1">
        <v>153.31187666840052</v>
      </c>
      <c r="K2077" s="1">
        <v>8.6985374895509476E-2</v>
      </c>
      <c r="L2077" s="1">
        <v>97.61573577233213</v>
      </c>
      <c r="M2077" s="1">
        <v>1357.7881923657515</v>
      </c>
      <c r="N2077" s="1">
        <v>-14.80250180557147</v>
      </c>
      <c r="O2077" s="1">
        <v>3.7269635683420756E-7</v>
      </c>
    </row>
    <row r="2078" spans="1:15" x14ac:dyDescent="0.25">
      <c r="A2078">
        <v>5510.71</v>
      </c>
      <c r="B2078" s="1">
        <v>0.1</v>
      </c>
      <c r="C2078" s="1">
        <v>13.66010512761817</v>
      </c>
      <c r="D2078" s="1">
        <v>569.20000000000005</v>
      </c>
      <c r="E2078" s="1">
        <v>3094.1558076410747</v>
      </c>
      <c r="F2078" s="1">
        <v>1296.467912743617</v>
      </c>
      <c r="G2078" s="1">
        <v>7208.4375082654688</v>
      </c>
      <c r="H2078" s="1">
        <v>2.8159999999999998E-2</v>
      </c>
      <c r="I2078" s="1">
        <v>1127.3634023857542</v>
      </c>
      <c r="J2078" s="1">
        <v>154.70779038205376</v>
      </c>
      <c r="K2078" s="1">
        <v>8.6973424483380454E-2</v>
      </c>
      <c r="L2078" s="1">
        <v>97.629761554677415</v>
      </c>
      <c r="M2078" s="1">
        <v>1366.0105127618408</v>
      </c>
      <c r="N2078" s="1">
        <v>-14.805611805571472</v>
      </c>
      <c r="O2078" s="1">
        <v>3.7153907167565618E-7</v>
      </c>
    </row>
    <row r="2079" spans="1:15" x14ac:dyDescent="0.25">
      <c r="A2079">
        <v>5524.46</v>
      </c>
      <c r="B2079" s="1">
        <v>0.1</v>
      </c>
      <c r="C2079" s="1">
        <v>13.743360654034099</v>
      </c>
      <c r="D2079" s="1">
        <v>569.30000000000007</v>
      </c>
      <c r="E2079" s="1">
        <v>3122.5071065938528</v>
      </c>
      <c r="F2079" s="1">
        <v>1307.6587408268026</v>
      </c>
      <c r="G2079" s="1">
        <v>7239.6625792172817</v>
      </c>
      <c r="H2079" s="1">
        <v>2.8159999999999998E-2</v>
      </c>
      <c r="I2079" s="1">
        <v>1137.0945572406981</v>
      </c>
      <c r="J2079" s="1">
        <v>156.12535532969264</v>
      </c>
      <c r="K2079" s="1">
        <v>8.6961469729414403E-2</v>
      </c>
      <c r="L2079" s="1">
        <v>97.643796289886524</v>
      </c>
      <c r="M2079" s="1">
        <v>1374.3360654034404</v>
      </c>
      <c r="N2079" s="1">
        <v>-14.808721805571471</v>
      </c>
      <c r="O2079" s="1">
        <v>3.7038538008305639E-7</v>
      </c>
    </row>
    <row r="2080" spans="1:15" x14ac:dyDescent="0.25">
      <c r="A2080">
        <v>5538.29</v>
      </c>
      <c r="B2080" s="1">
        <v>0.1</v>
      </c>
      <c r="C2080" s="1">
        <v>13.827669229777909</v>
      </c>
      <c r="D2080" s="1">
        <v>569.4</v>
      </c>
      <c r="E2080" s="1">
        <v>3151.3012001974425</v>
      </c>
      <c r="F2080" s="1">
        <v>1319.0139252871918</v>
      </c>
      <c r="G2080" s="1">
        <v>7271.1755910994925</v>
      </c>
      <c r="H2080" s="1">
        <v>2.8159999999999998E-2</v>
      </c>
      <c r="I2080" s="1">
        <v>1146.9686306845149</v>
      </c>
      <c r="J2080" s="1">
        <v>157.56506000987213</v>
      </c>
      <c r="K2080" s="1">
        <v>8.6949510467326449E-2</v>
      </c>
      <c r="L2080" s="1">
        <v>97.657840179051689</v>
      </c>
      <c r="M2080" s="1">
        <v>1382.7669229777712</v>
      </c>
      <c r="N2080" s="1">
        <v>-14.811831805571471</v>
      </c>
      <c r="O2080" s="1">
        <v>3.6923527089777889E-7</v>
      </c>
    </row>
    <row r="2081" spans="1:15" x14ac:dyDescent="0.25">
      <c r="A2081">
        <v>5552.2</v>
      </c>
      <c r="B2081" s="1">
        <v>0.1</v>
      </c>
      <c r="C2081" s="1">
        <v>13.91305215826192</v>
      </c>
      <c r="D2081" s="1">
        <v>569.5</v>
      </c>
      <c r="E2081" s="1">
        <v>3180.548151142526</v>
      </c>
      <c r="F2081" s="1">
        <v>1330.5369827636041</v>
      </c>
      <c r="G2081" s="1">
        <v>7302.981072485195</v>
      </c>
      <c r="H2081" s="1">
        <v>2.8159999999999998E-2</v>
      </c>
      <c r="I2081" s="1">
        <v>1156.9886806640038</v>
      </c>
      <c r="J2081" s="1">
        <v>159.02740755712631</v>
      </c>
      <c r="K2081" s="1">
        <v>8.6937546527846687E-2</v>
      </c>
      <c r="L2081" s="1">
        <v>97.671893426992867</v>
      </c>
      <c r="M2081" s="1">
        <v>1391.3052158261962</v>
      </c>
      <c r="N2081" s="1">
        <v>-14.81494180557147</v>
      </c>
      <c r="O2081" s="1">
        <v>3.6808873299584342E-7</v>
      </c>
    </row>
    <row r="2082" spans="1:15" x14ac:dyDescent="0.25">
      <c r="A2082">
        <v>5566.2</v>
      </c>
      <c r="B2082" s="1">
        <v>0.1</v>
      </c>
      <c r="C2082" s="1">
        <v>13.999531340008918</v>
      </c>
      <c r="D2082" s="1">
        <v>569.6</v>
      </c>
      <c r="E2082" s="1">
        <v>3210.2583258464269</v>
      </c>
      <c r="F2082" s="1">
        <v>1342.2315300478363</v>
      </c>
      <c r="G2082" s="1">
        <v>7335.0836556116419</v>
      </c>
      <c r="H2082" s="1">
        <v>2.8159999999999998E-2</v>
      </c>
      <c r="I2082" s="1">
        <v>1167.15785221551</v>
      </c>
      <c r="J2082" s="1">
        <v>160.51291629232136</v>
      </c>
      <c r="K2082" s="1">
        <v>8.6925577738641915E-2</v>
      </c>
      <c r="L2082" s="1">
        <v>97.685956242354933</v>
      </c>
      <c r="M2082" s="1">
        <v>1399.9531340008616</v>
      </c>
      <c r="N2082" s="1">
        <v>-14.81805180557147</v>
      </c>
      <c r="O2082" s="1">
        <v>3.6694575528781194E-7</v>
      </c>
    </row>
    <row r="2083" spans="1:15" x14ac:dyDescent="0.25">
      <c r="A2083">
        <v>5580.28</v>
      </c>
      <c r="B2083" s="1">
        <v>0.1</v>
      </c>
      <c r="C2083" s="1">
        <v>14.087129294113579</v>
      </c>
      <c r="D2083" s="1">
        <v>569.70000000000005</v>
      </c>
      <c r="E2083" s="1">
        <v>3240.4424059549797</v>
      </c>
      <c r="F2083" s="1">
        <v>1354.1012876728355</v>
      </c>
      <c r="G2083" s="1">
        <v>7367.488079532518</v>
      </c>
      <c r="H2083" s="1">
        <v>2.8159999999999998E-2</v>
      </c>
      <c r="I2083" s="1">
        <v>1177.4793805850748</v>
      </c>
      <c r="J2083" s="1">
        <v>162.02212029774898</v>
      </c>
      <c r="K2083" s="1">
        <v>8.69136039242355E-2</v>
      </c>
      <c r="L2083" s="1">
        <v>97.700028837707251</v>
      </c>
      <c r="M2083" s="1">
        <v>1408.7129294113765</v>
      </c>
      <c r="N2083" s="1">
        <v>-14.821161805571469</v>
      </c>
      <c r="O2083" s="1">
        <v>3.6580632671868075E-7</v>
      </c>
    </row>
    <row r="2084" spans="1:15" x14ac:dyDescent="0.25">
      <c r="A2084">
        <v>5594.46</v>
      </c>
      <c r="B2084" s="1">
        <v>0.1</v>
      </c>
      <c r="C2084" s="1">
        <v>14.175869180654228</v>
      </c>
      <c r="D2084" s="1">
        <v>569.80000000000007</v>
      </c>
      <c r="E2084" s="1">
        <v>3271.1114003763696</v>
      </c>
      <c r="F2084" s="1">
        <v>1366.1500836566458</v>
      </c>
      <c r="G2084" s="1">
        <v>7400.1991933905729</v>
      </c>
      <c r="H2084" s="1">
        <v>2.8159999999999998E-2</v>
      </c>
      <c r="I2084" s="1">
        <v>1187.9565944840401</v>
      </c>
      <c r="J2084" s="1">
        <v>163.55557001881849</v>
      </c>
      <c r="K2084" s="1">
        <v>8.6901624905923805E-2</v>
      </c>
      <c r="L2084" s="1">
        <v>97.71411142964763</v>
      </c>
      <c r="M2084" s="1">
        <v>1417.5869180654445</v>
      </c>
      <c r="N2084" s="1">
        <v>-14.824271805571469</v>
      </c>
      <c r="O2084" s="1">
        <v>3.6467043626777405E-7</v>
      </c>
    </row>
    <row r="2085" spans="1:15" x14ac:dyDescent="0.25">
      <c r="A2085">
        <v>5608.73</v>
      </c>
      <c r="B2085" s="1">
        <v>0.1</v>
      </c>
      <c r="C2085" s="1">
        <v>14.265774824092084</v>
      </c>
      <c r="D2085" s="1">
        <v>569.9</v>
      </c>
      <c r="E2085" s="1">
        <v>3302.2766578644005</v>
      </c>
      <c r="F2085" s="1">
        <v>1378.3818574099093</v>
      </c>
      <c r="G2085" s="1">
        <v>7433.2219598160609</v>
      </c>
      <c r="H2085" s="1">
        <v>2.8159999999999998E-2</v>
      </c>
      <c r="I2085" s="1">
        <v>1198.5929194868779</v>
      </c>
      <c r="J2085" s="1">
        <v>165.11383289322004</v>
      </c>
      <c r="K2085" s="1">
        <v>8.6889640501690429E-2</v>
      </c>
      <c r="L2085" s="1">
        <v>97.728204238908717</v>
      </c>
      <c r="M2085" s="1">
        <v>1426.577482409175</v>
      </c>
      <c r="N2085" s="1">
        <v>-14.827381805571472</v>
      </c>
      <c r="O2085" s="1">
        <v>3.6353807294863559E-7</v>
      </c>
    </row>
    <row r="2086" spans="1:15" x14ac:dyDescent="0.25">
      <c r="A2086">
        <v>5623.08</v>
      </c>
      <c r="B2086" s="1">
        <v>0.1</v>
      </c>
      <c r="C2086" s="1">
        <v>14.35687073772028</v>
      </c>
      <c r="D2086" s="1">
        <v>570</v>
      </c>
      <c r="E2086" s="1">
        <v>3333.9498801896907</v>
      </c>
      <c r="F2086" s="1">
        <v>1390.8006638154927</v>
      </c>
      <c r="G2086" s="1">
        <v>7466.5614584569239</v>
      </c>
      <c r="H2086" s="1">
        <v>2.8159999999999998E-2</v>
      </c>
      <c r="I2086" s="1">
        <v>1209.3918815786894</v>
      </c>
      <c r="J2086" s="1">
        <v>166.69749400948456</v>
      </c>
      <c r="K2086" s="1">
        <v>8.6877650526117109E-2</v>
      </c>
      <c r="L2086" s="1">
        <v>97.742307490468846</v>
      </c>
      <c r="M2086" s="1">
        <v>1435.6870737719873</v>
      </c>
      <c r="N2086" s="1">
        <v>-14.830491805571471</v>
      </c>
      <c r="O2086" s="1">
        <v>3.6240922580892782E-7</v>
      </c>
    </row>
    <row r="2087" spans="1:15" x14ac:dyDescent="0.25">
      <c r="A2087">
        <v>5637.53</v>
      </c>
      <c r="B2087" s="1">
        <v>0.1</v>
      </c>
      <c r="C2087" s="1">
        <v>14.44918214921133</v>
      </c>
      <c r="D2087" s="1">
        <v>570.1</v>
      </c>
      <c r="E2087" s="1">
        <v>3366.1431359274461</v>
      </c>
      <c r="F2087" s="1">
        <v>1403.4106774890922</v>
      </c>
      <c r="G2087" s="1">
        <v>7500.2228896468268</v>
      </c>
      <c r="H2087" s="1">
        <v>2.8159999999999998E-2</v>
      </c>
      <c r="I2087" s="1">
        <v>1220.3571108600804</v>
      </c>
      <c r="J2087" s="1">
        <v>168.30715679637231</v>
      </c>
      <c r="K2087" s="1">
        <v>8.6865654790291666E-2</v>
      </c>
      <c r="L2087" s="1">
        <v>97.756421413666359</v>
      </c>
      <c r="M2087" s="1">
        <v>1444.9182149211083</v>
      </c>
      <c r="N2087" s="1">
        <v>-14.833601805571471</v>
      </c>
      <c r="O2087" s="1">
        <v>3.6128388393031822E-7</v>
      </c>
    </row>
    <row r="2088" spans="1:15" x14ac:dyDescent="0.25">
      <c r="A2088">
        <v>5652.08</v>
      </c>
      <c r="B2088" s="1">
        <v>0.1</v>
      </c>
      <c r="C2088" s="1">
        <v>14.542735027324335</v>
      </c>
      <c r="D2088" s="1">
        <v>570.20000000000005</v>
      </c>
      <c r="E2088" s="1">
        <v>3398.8688748947116</v>
      </c>
      <c r="F2088" s="1">
        <v>1416.2161972302993</v>
      </c>
      <c r="G2088" s="1">
        <v>7534.2115782175688</v>
      </c>
      <c r="H2088" s="1">
        <v>2.8159999999999998E-2</v>
      </c>
      <c r="I2088" s="1">
        <v>1231.4923454176514</v>
      </c>
      <c r="J2088" s="1">
        <v>169.94344374473559</v>
      </c>
      <c r="K2088" s="1">
        <v>8.6853653101712724E-2</v>
      </c>
      <c r="L2088" s="1">
        <v>97.770546242317948</v>
      </c>
      <c r="M2088" s="1">
        <v>1454.2735027323943</v>
      </c>
      <c r="N2088" s="1">
        <v>-14.83671180557147</v>
      </c>
      <c r="O2088" s="1">
        <v>3.6016203642837891E-7</v>
      </c>
    </row>
    <row r="2089" spans="1:15" x14ac:dyDescent="0.25">
      <c r="A2089">
        <v>5666.71</v>
      </c>
      <c r="B2089" s="1">
        <v>0.1</v>
      </c>
      <c r="C2089" s="1">
        <v>14.637556109832031</v>
      </c>
      <c r="D2089" s="1">
        <v>570.30000000000007</v>
      </c>
      <c r="E2089" s="1">
        <v>3432.1399432734711</v>
      </c>
      <c r="F2089" s="1">
        <v>1429.2216506740965</v>
      </c>
      <c r="G2089" s="1">
        <v>7568.5329774627389</v>
      </c>
      <c r="H2089" s="1">
        <v>2.8159999999999998E-2</v>
      </c>
      <c r="I2089" s="1">
        <v>1242.8014353687795</v>
      </c>
      <c r="J2089" s="1">
        <v>171.60699716367355</v>
      </c>
      <c r="K2089" s="1">
        <v>8.6841645264191497E-2</v>
      </c>
      <c r="L2089" s="1">
        <v>97.784682214840785</v>
      </c>
      <c r="M2089" s="1">
        <v>1463.7556109832076</v>
      </c>
      <c r="N2089" s="1">
        <v>-14.83982180557147</v>
      </c>
      <c r="O2089" s="1">
        <v>3.5904367245247992E-7</v>
      </c>
    </row>
    <row r="2090" spans="1:15" x14ac:dyDescent="0.25">
      <c r="A2090">
        <v>5681.45</v>
      </c>
      <c r="B2090" s="1">
        <v>0.1</v>
      </c>
      <c r="C2090" s="1">
        <v>14.733672932743426</v>
      </c>
      <c r="D2090" s="1">
        <v>570.4</v>
      </c>
      <c r="E2090" s="1">
        <v>3465.9695994629037</v>
      </c>
      <c r="F2090" s="1">
        <v>1442.4315991536746</v>
      </c>
      <c r="G2090" s="1">
        <v>7603.1926732598868</v>
      </c>
      <c r="H2090" s="1">
        <v>2.8159999999999998E-2</v>
      </c>
      <c r="I2090" s="1">
        <v>1254.288347090152</v>
      </c>
      <c r="J2090" s="1">
        <v>173.29847997314519</v>
      </c>
      <c r="K2090" s="1">
        <v>8.6829631077749256E-2</v>
      </c>
      <c r="L2090" s="1">
        <v>97.798829574379809</v>
      </c>
      <c r="M2090" s="1">
        <v>1473.3672932743502</v>
      </c>
      <c r="N2090" s="1">
        <v>-14.842931805571469</v>
      </c>
      <c r="O2090" s="1">
        <v>3.5792878118568423E-7</v>
      </c>
    </row>
    <row r="2091" spans="1:15" x14ac:dyDescent="0.25">
      <c r="A2091">
        <v>5696.28</v>
      </c>
      <c r="B2091" s="1">
        <v>0.1</v>
      </c>
      <c r="C2091" s="1">
        <v>14.831113860875435</v>
      </c>
      <c r="D2091" s="1">
        <v>570.5</v>
      </c>
      <c r="E2091" s="1">
        <v>3500.3715306959562</v>
      </c>
      <c r="F2091" s="1">
        <v>1455.8507427855602</v>
      </c>
      <c r="G2091" s="1">
        <v>7638.1963883588478</v>
      </c>
      <c r="H2091" s="1">
        <v>2.8159999999999998E-2</v>
      </c>
      <c r="I2091" s="1">
        <v>1265.9571676396181</v>
      </c>
      <c r="J2091" s="1">
        <v>175.01857653479783</v>
      </c>
      <c r="K2091" s="1">
        <v>8.6817610338511653E-2</v>
      </c>
      <c r="L2091" s="1">
        <v>97.812988568938977</v>
      </c>
      <c r="M2091" s="1">
        <v>1483.1113860875121</v>
      </c>
      <c r="N2091" s="1">
        <v>-14.846041805571469</v>
      </c>
      <c r="O2091" s="1">
        <v>3.5681735184464343E-7</v>
      </c>
    </row>
    <row r="2092" spans="1:15" x14ac:dyDescent="0.25">
      <c r="A2092">
        <v>5711.21</v>
      </c>
      <c r="B2092" s="1">
        <v>0.1</v>
      </c>
      <c r="C2092" s="1">
        <v>14.929908119861576</v>
      </c>
      <c r="D2092" s="1">
        <v>570.6</v>
      </c>
      <c r="E2092" s="1">
        <v>3535.3598704604751</v>
      </c>
      <c r="F2092" s="1">
        <v>1469.483925789184</v>
      </c>
      <c r="G2092" s="1">
        <v>7673.5499868443012</v>
      </c>
      <c r="H2092" s="1">
        <v>2.8159999999999998E-2</v>
      </c>
      <c r="I2092" s="1">
        <v>1277.8121093818993</v>
      </c>
      <c r="J2092" s="1">
        <v>176.76799352302376</v>
      </c>
      <c r="K2092" s="1">
        <v>8.6805582838599932E-2</v>
      </c>
      <c r="L2092" s="1">
        <v>97.82715945151655</v>
      </c>
      <c r="M2092" s="1">
        <v>1492.9908119861466</v>
      </c>
      <c r="N2092" s="1">
        <v>-14.849151805571472</v>
      </c>
      <c r="O2092" s="1">
        <v>3.5570937367949174E-7</v>
      </c>
    </row>
    <row r="2093" spans="1:15" x14ac:dyDescent="0.25">
      <c r="A2093">
        <v>5726.24</v>
      </c>
      <c r="B2093" s="1">
        <v>0.1</v>
      </c>
      <c r="C2093" s="1">
        <v>15.030085829678672</v>
      </c>
      <c r="D2093" s="1">
        <v>570.70000000000005</v>
      </c>
      <c r="E2093" s="1">
        <v>3570.9492167873782</v>
      </c>
      <c r="F2093" s="1">
        <v>1483.3361420537819</v>
      </c>
      <c r="G2093" s="1">
        <v>7709.259478781185</v>
      </c>
      <c r="H2093" s="1">
        <v>2.8159999999999998E-2</v>
      </c>
      <c r="I2093" s="1">
        <v>1289.8575148293758</v>
      </c>
      <c r="J2093" s="1">
        <v>178.54746083936891</v>
      </c>
      <c r="K2093" s="1">
        <v>8.6793548366016507E-2</v>
      </c>
      <c r="L2093" s="1">
        <v>97.84134248024705</v>
      </c>
      <c r="M2093" s="1">
        <v>1503.0085829678683</v>
      </c>
      <c r="N2093" s="1">
        <v>-14.852261805571471</v>
      </c>
      <c r="O2093" s="1">
        <v>3.5460483597374762E-7</v>
      </c>
    </row>
    <row r="2094" spans="1:15" x14ac:dyDescent="0.25">
      <c r="A2094">
        <v>5741.37</v>
      </c>
      <c r="B2094" s="1">
        <v>0.1</v>
      </c>
      <c r="C2094" s="1">
        <v>15.131678069757985</v>
      </c>
      <c r="D2094" s="1">
        <v>570.80000000000007</v>
      </c>
      <c r="E2094" s="1">
        <v>3607.1546585951796</v>
      </c>
      <c r="F2094" s="1">
        <v>1497.4125418622152</v>
      </c>
      <c r="G2094" s="1">
        <v>7745.3310252955143</v>
      </c>
      <c r="H2094" s="1">
        <v>2.8159999999999998E-2</v>
      </c>
      <c r="I2094" s="1">
        <v>1302.097862488883</v>
      </c>
      <c r="J2094" s="1">
        <v>180.35773292975898</v>
      </c>
      <c r="K2094" s="1">
        <v>8.678150670337835E-2</v>
      </c>
      <c r="L2094" s="1">
        <v>97.855537919902105</v>
      </c>
      <c r="M2094" s="1">
        <v>1513.1678069757982</v>
      </c>
      <c r="N2094" s="1">
        <v>-14.855371805571471</v>
      </c>
      <c r="O2094" s="1">
        <v>3.5350372804420189E-7</v>
      </c>
    </row>
    <row r="2095" spans="1:15" x14ac:dyDescent="0.25">
      <c r="A2095">
        <v>5756.6</v>
      </c>
      <c r="B2095" s="1">
        <v>0.1</v>
      </c>
      <c r="C2095" s="1">
        <v>15.234716799286959</v>
      </c>
      <c r="D2095" s="1">
        <v>570.9</v>
      </c>
      <c r="E2095" s="1">
        <v>3643.9917680708868</v>
      </c>
      <c r="F2095" s="1">
        <v>1511.7184352992952</v>
      </c>
      <c r="G2095" s="1">
        <v>7781.7709429004208</v>
      </c>
      <c r="H2095" s="1">
        <v>2.8159999999999998E-2</v>
      </c>
      <c r="I2095" s="1">
        <v>1314.5377698254742</v>
      </c>
      <c r="J2095" s="1">
        <v>182.19958840354434</v>
      </c>
      <c r="K2095" s="1">
        <v>8.6769457632132035E-2</v>
      </c>
      <c r="L2095" s="1">
        <v>97.869746036929016</v>
      </c>
      <c r="M2095" s="1">
        <v>1523.4716799286616</v>
      </c>
      <c r="N2095" s="1">
        <v>-14.85848180557147</v>
      </c>
      <c r="O2095" s="1">
        <v>3.5240603924082009E-7</v>
      </c>
    </row>
    <row r="2096" spans="1:15" x14ac:dyDescent="0.25">
      <c r="A2096">
        <v>5771.94</v>
      </c>
      <c r="B2096" s="1">
        <v>0.1</v>
      </c>
      <c r="C2096" s="1">
        <v>15.339235065495952</v>
      </c>
      <c r="D2096" s="1">
        <v>571</v>
      </c>
      <c r="E2096" s="1">
        <v>3681.4766622030425</v>
      </c>
      <c r="F2096" s="1">
        <v>1526.2593013490575</v>
      </c>
      <c r="G2096" s="1">
        <v>7818.5857094421899</v>
      </c>
      <c r="H2096" s="1">
        <v>2.8159999999999998E-2</v>
      </c>
      <c r="I2096" s="1">
        <v>1327.1820011730938</v>
      </c>
      <c r="J2096" s="1">
        <v>184.07383311015212</v>
      </c>
      <c r="K2096" s="1">
        <v>8.6757400926314177E-2</v>
      </c>
      <c r="L2096" s="1">
        <v>97.883967106813927</v>
      </c>
      <c r="M2096" s="1">
        <v>1533.9235065495814</v>
      </c>
      <c r="N2096" s="1">
        <v>-14.861591805571468</v>
      </c>
      <c r="O2096" s="1">
        <v>3.5131175894663768E-7</v>
      </c>
    </row>
    <row r="2097" spans="1:15" x14ac:dyDescent="0.25">
      <c r="A2097">
        <v>5787.39</v>
      </c>
      <c r="B2097" s="1">
        <v>0.1</v>
      </c>
      <c r="C2097" s="1">
        <v>15.445266934317095</v>
      </c>
      <c r="D2097" s="1">
        <v>571.1</v>
      </c>
      <c r="E2097" s="1">
        <v>3719.6259989320079</v>
      </c>
      <c r="F2097" s="1">
        <v>1541.0407936889767</v>
      </c>
      <c r="G2097" s="1">
        <v>7855.7819693464944</v>
      </c>
      <c r="H2097" s="1">
        <v>2.8159999999999998E-2</v>
      </c>
      <c r="I2097" s="1">
        <v>1340.0354727730235</v>
      </c>
      <c r="J2097" s="1">
        <v>185.98129994660042</v>
      </c>
      <c r="K2097" s="1">
        <v>8.6745336356233313E-2</v>
      </c>
      <c r="L2097" s="1">
        <v>97.8982014097503</v>
      </c>
      <c r="M2097" s="1">
        <v>1544.526693431726</v>
      </c>
      <c r="N2097" s="1">
        <v>-14.864701805571469</v>
      </c>
      <c r="O2097" s="1">
        <v>3.5022087657765765E-7</v>
      </c>
    </row>
    <row r="2098" spans="1:15" x14ac:dyDescent="0.25">
      <c r="A2098">
        <v>5802.94</v>
      </c>
      <c r="B2098" s="1">
        <v>0.1</v>
      </c>
      <c r="C2098" s="1">
        <v>15.552847559501206</v>
      </c>
      <c r="D2098" s="1">
        <v>571.20000000000005</v>
      </c>
      <c r="E2098" s="1">
        <v>3758.4570068423418</v>
      </c>
      <c r="F2098" s="1">
        <v>1556.068747714133</v>
      </c>
      <c r="G2098" s="1">
        <v>7893.3665393248302</v>
      </c>
      <c r="H2098" s="1">
        <v>2.8159999999999998E-2</v>
      </c>
      <c r="I2098" s="1">
        <v>1353.103258881855</v>
      </c>
      <c r="J2098" s="1">
        <v>187.9228503421171</v>
      </c>
      <c r="K2098" s="1">
        <v>8.6733263687446757E-2</v>
      </c>
      <c r="L2098" s="1">
        <v>97.912449231853358</v>
      </c>
      <c r="M2098" s="1">
        <v>1555.284755950106</v>
      </c>
      <c r="N2098" s="1">
        <v>-14.867811805571469</v>
      </c>
      <c r="O2098" s="1">
        <v>3.4913338158274828E-7</v>
      </c>
    </row>
    <row r="2099" spans="1:15" x14ac:dyDescent="0.25">
      <c r="A2099">
        <v>5818.6</v>
      </c>
      <c r="B2099" s="1">
        <v>0.1</v>
      </c>
      <c r="C2099" s="1">
        <v>15.662013227212677</v>
      </c>
      <c r="D2099" s="1">
        <v>571.30000000000007</v>
      </c>
      <c r="E2099" s="1">
        <v>3797.9875097470031</v>
      </c>
      <c r="F2099" s="1">
        <v>1571.349187904224</v>
      </c>
      <c r="G2099" s="1">
        <v>7931.346414326792</v>
      </c>
      <c r="H2099" s="1">
        <v>2.8159999999999998E-2</v>
      </c>
      <c r="I2099" s="1">
        <v>1366.3905981775863</v>
      </c>
      <c r="J2099" s="1">
        <v>189.89937548735017</v>
      </c>
      <c r="K2099" s="1">
        <v>8.6721182680619291E-2</v>
      </c>
      <c r="L2099" s="1">
        <v>97.926710865335593</v>
      </c>
      <c r="M2099" s="1">
        <v>1566.201322721281</v>
      </c>
      <c r="N2099" s="1">
        <v>-14.870921805571472</v>
      </c>
      <c r="O2099" s="1">
        <v>3.4804926344353951E-7</v>
      </c>
    </row>
    <row r="2100" spans="1:15" x14ac:dyDescent="0.25">
      <c r="A2100">
        <v>5834.38</v>
      </c>
      <c r="B2100" s="1">
        <v>0.1</v>
      </c>
      <c r="C2100" s="1">
        <v>15.772801402858734</v>
      </c>
      <c r="D2100" s="1">
        <v>571.4</v>
      </c>
      <c r="E2100" s="1">
        <v>3838.235952551594</v>
      </c>
      <c r="F2100" s="1">
        <v>1586.8883355530288</v>
      </c>
      <c r="G2100" s="1">
        <v>7969.7287737510151</v>
      </c>
      <c r="H2100" s="1">
        <v>2.8159999999999998E-2</v>
      </c>
      <c r="I2100" s="1">
        <v>1379.9029004808951</v>
      </c>
      <c r="J2100" s="1">
        <v>191.91179762757972</v>
      </c>
      <c r="K2100" s="1">
        <v>8.6709093091376629E-2</v>
      </c>
      <c r="L2100" s="1">
        <v>97.940986608688789</v>
      </c>
      <c r="M2100" s="1">
        <v>1577.2801402858931</v>
      </c>
      <c r="N2100" s="1">
        <v>-14.874031805571471</v>
      </c>
      <c r="O2100" s="1">
        <v>3.4696851167432609E-7</v>
      </c>
    </row>
    <row r="2101" spans="1:15" x14ac:dyDescent="0.25">
      <c r="A2101">
        <v>5850.26</v>
      </c>
      <c r="B2101" s="1">
        <v>0.1</v>
      </c>
      <c r="C2101" s="1">
        <v>15.885250780285302</v>
      </c>
      <c r="D2101" s="1">
        <v>571.5</v>
      </c>
      <c r="E2101" s="1">
        <v>3879.2214284769866</v>
      </c>
      <c r="F2101" s="1">
        <v>1602.6926168812304</v>
      </c>
      <c r="G2101" s="1">
        <v>8008.5209879283102</v>
      </c>
      <c r="H2101" s="1">
        <v>2.8159999999999998E-2</v>
      </c>
      <c r="I2101" s="1">
        <v>1393.6457538097659</v>
      </c>
      <c r="J2101" s="1">
        <v>193.96107142384935</v>
      </c>
      <c r="K2101" s="1">
        <v>8.669699467015321E-2</v>
      </c>
      <c r="L2101" s="1">
        <v>97.955276766872998</v>
      </c>
      <c r="M2101" s="1">
        <v>1588.5250780284878</v>
      </c>
      <c r="N2101" s="1">
        <v>-14.877141805571469</v>
      </c>
      <c r="O2101" s="1">
        <v>3.4589111582195956E-7</v>
      </c>
    </row>
    <row r="2102" spans="1:15" x14ac:dyDescent="0.25">
      <c r="A2102">
        <v>5866.26</v>
      </c>
      <c r="B2102" s="1">
        <v>0.1</v>
      </c>
      <c r="C2102" s="1">
        <v>15.999401333497847</v>
      </c>
      <c r="D2102" s="1">
        <v>571.6</v>
      </c>
      <c r="E2102" s="1">
        <v>3920.9637077314505</v>
      </c>
      <c r="F2102" s="1">
        <v>1618.7686715554073</v>
      </c>
      <c r="G2102" s="1">
        <v>8047.7306248915374</v>
      </c>
      <c r="H2102" s="1">
        <v>2.8159999999999998E-2</v>
      </c>
      <c r="I2102" s="1">
        <v>1407.6249317873107</v>
      </c>
      <c r="J2102" s="1">
        <v>196.04818538657253</v>
      </c>
      <c r="K2102" s="1">
        <v>8.6684887162033597E-2</v>
      </c>
      <c r="L2102" s="1">
        <v>97.969581651513437</v>
      </c>
      <c r="M2102" s="1">
        <v>1599.9401333498099</v>
      </c>
      <c r="N2102" s="1">
        <v>-14.88025180557147</v>
      </c>
      <c r="O2102" s="1">
        <v>3.4481706546575068E-7</v>
      </c>
    </row>
    <row r="2103" spans="1:15" x14ac:dyDescent="0.25">
      <c r="A2103">
        <v>5882.38</v>
      </c>
      <c r="B2103" s="1">
        <v>0.1</v>
      </c>
      <c r="C2103" s="1">
        <v>16.115294371035546</v>
      </c>
      <c r="D2103" s="1">
        <v>571.70000000000005</v>
      </c>
      <c r="E2103" s="1">
        <v>3963.4832677086342</v>
      </c>
      <c r="F2103" s="1">
        <v>1635.1233616367772</v>
      </c>
      <c r="G2103" s="1">
        <v>8087.3654574474604</v>
      </c>
      <c r="H2103" s="1">
        <v>2.8159999999999998E-2</v>
      </c>
      <c r="I2103" s="1">
        <v>1421.8464014232848</v>
      </c>
      <c r="J2103" s="1">
        <v>198.17416338543171</v>
      </c>
      <c r="K2103" s="1">
        <v>8.6672770306588681E-2</v>
      </c>
      <c r="L2103" s="1">
        <v>97.983901581103936</v>
      </c>
      <c r="M2103" s="1">
        <v>1611.5294371035816</v>
      </c>
      <c r="N2103" s="1">
        <v>-14.88336180557147</v>
      </c>
      <c r="O2103" s="1">
        <v>3.4374635021736886E-7</v>
      </c>
    </row>
    <row r="2104" spans="1:15" x14ac:dyDescent="0.25">
      <c r="A2104">
        <v>5898.61</v>
      </c>
      <c r="B2104" s="1">
        <v>0.1</v>
      </c>
      <c r="C2104" s="1">
        <v>16.232972593186723</v>
      </c>
      <c r="D2104" s="1">
        <v>571.80000000000007</v>
      </c>
      <c r="E2104" s="1">
        <v>4006.8013248255597</v>
      </c>
      <c r="F2104" s="1">
        <v>1651.7637809856878</v>
      </c>
      <c r="G2104" s="1">
        <v>8127.4334705669862</v>
      </c>
      <c r="H2104" s="1">
        <v>2.8159999999999998E-2</v>
      </c>
      <c r="I2104" s="1">
        <v>1436.3163312919028</v>
      </c>
      <c r="J2104" s="1">
        <v>200.34006624127801</v>
      </c>
      <c r="K2104" s="1">
        <v>8.666064383770429E-2</v>
      </c>
      <c r="L2104" s="1">
        <v>97.998236881219711</v>
      </c>
      <c r="M2104" s="1">
        <v>1623.2972593186787</v>
      </c>
      <c r="N2104" s="1">
        <v>-14.886471805571469</v>
      </c>
      <c r="O2104" s="1">
        <v>3.4267895972074079E-7</v>
      </c>
    </row>
    <row r="2105" spans="1:15" x14ac:dyDescent="0.25">
      <c r="A2105">
        <v>5914.96</v>
      </c>
      <c r="B2105" s="1">
        <v>0.1</v>
      </c>
      <c r="C2105" s="1">
        <v>16.352480152202144</v>
      </c>
      <c r="D2105" s="1">
        <v>571.9</v>
      </c>
      <c r="E2105" s="1">
        <v>4050.9398680919071</v>
      </c>
      <c r="F2105" s="1">
        <v>1668.6972651490539</v>
      </c>
      <c r="G2105" s="1">
        <v>8167.942869111067</v>
      </c>
      <c r="H2105" s="1">
        <v>2.8159999999999998E-2</v>
      </c>
      <c r="I2105" s="1">
        <v>1451.0411001296125</v>
      </c>
      <c r="J2105" s="1">
        <v>202.54699340459536</v>
      </c>
      <c r="K2105" s="1">
        <v>8.6648507483403345E-2</v>
      </c>
      <c r="L2105" s="1">
        <v>98.012587884738181</v>
      </c>
      <c r="M2105" s="1">
        <v>1635.2480152202588</v>
      </c>
      <c r="N2105" s="1">
        <v>-14.889581805571469</v>
      </c>
      <c r="O2105" s="1">
        <v>3.4161488365195044E-7</v>
      </c>
    </row>
    <row r="2106" spans="1:15" x14ac:dyDescent="0.25">
      <c r="A2106">
        <v>5931.44</v>
      </c>
      <c r="B2106" s="1">
        <v>0.1</v>
      </c>
      <c r="C2106" s="1">
        <v>16.473862715697209</v>
      </c>
      <c r="D2106" s="1">
        <v>572</v>
      </c>
      <c r="E2106" s="1">
        <v>4095.9216945206213</v>
      </c>
      <c r="F2106" s="1">
        <v>1685.9314017599663</v>
      </c>
      <c r="G2106" s="1">
        <v>8208.9020859107495</v>
      </c>
      <c r="H2106" s="1">
        <v>2.8159999999999998E-2</v>
      </c>
      <c r="I2106" s="1">
        <v>1466.027305878232</v>
      </c>
      <c r="J2106" s="1">
        <v>204.79608472603107</v>
      </c>
      <c r="K2106" s="1">
        <v>8.6636360965661505E-2</v>
      </c>
      <c r="L2106" s="1">
        <v>98.026954932067738</v>
      </c>
      <c r="M2106" s="1">
        <v>1647.3862715697578</v>
      </c>
      <c r="N2106" s="1">
        <v>-14.892691805571472</v>
      </c>
      <c r="O2106" s="1">
        <v>3.4055411171913822E-7</v>
      </c>
    </row>
    <row r="2107" spans="1:15" x14ac:dyDescent="0.25">
      <c r="A2107">
        <v>5948.03</v>
      </c>
      <c r="B2107" s="1">
        <v>0.1</v>
      </c>
      <c r="C2107" s="1">
        <v>16.597167533457458</v>
      </c>
      <c r="D2107" s="1">
        <v>572.1</v>
      </c>
      <c r="E2107" s="1">
        <v>4141.770446516668</v>
      </c>
      <c r="F2107" s="1">
        <v>1703.4740414811852</v>
      </c>
      <c r="G2107" s="1">
        <v>8250.3197902210813</v>
      </c>
      <c r="H2107" s="1">
        <v>2.8159999999999998E-2</v>
      </c>
      <c r="I2107" s="1">
        <v>1481.2817752010308</v>
      </c>
      <c r="J2107" s="1">
        <v>207.08852232583342</v>
      </c>
      <c r="K2107" s="1">
        <v>8.6624204000213895E-2</v>
      </c>
      <c r="L2107" s="1">
        <v>98.041338371387909</v>
      </c>
      <c r="M2107" s="1">
        <v>1659.716753345765</v>
      </c>
      <c r="N2107" s="1">
        <v>-14.895801805571471</v>
      </c>
      <c r="O2107" s="1">
        <v>3.3949663366240608E-7</v>
      </c>
    </row>
    <row r="2108" spans="1:15" x14ac:dyDescent="0.25">
      <c r="A2108">
        <v>5964.76</v>
      </c>
      <c r="B2108" s="1">
        <v>0.1</v>
      </c>
      <c r="C2108" s="1">
        <v>16.722443507837731</v>
      </c>
      <c r="D2108" s="1">
        <v>572.20000000000005</v>
      </c>
      <c r="E2108" s="1">
        <v>4188.510651345734</v>
      </c>
      <c r="F2108" s="1">
        <v>1721.3333095256557</v>
      </c>
      <c r="G2108" s="1">
        <v>8292.2048965697122</v>
      </c>
      <c r="H2108" s="1">
        <v>2.8159999999999998E-2</v>
      </c>
      <c r="I2108" s="1">
        <v>1496.8115735005701</v>
      </c>
      <c r="J2108" s="1">
        <v>209.42553256728672</v>
      </c>
      <c r="K2108" s="1">
        <v>8.6612036296355485E-2</v>
      </c>
      <c r="L2108" s="1">
        <v>98.055738558896891</v>
      </c>
      <c r="M2108" s="1">
        <v>1672.2443507837852</v>
      </c>
      <c r="N2108" s="1">
        <v>-14.898911805571471</v>
      </c>
      <c r="O2108" s="1">
        <v>3.38442439253711E-7</v>
      </c>
    </row>
    <row r="2109" spans="1:15" x14ac:dyDescent="0.25">
      <c r="A2109">
        <v>5981.6</v>
      </c>
      <c r="B2109" s="1">
        <v>0.1</v>
      </c>
      <c r="C2109" s="1">
        <v>16.84974126801373</v>
      </c>
      <c r="D2109" s="1">
        <v>572.30000000000007</v>
      </c>
      <c r="E2109" s="1">
        <v>4236.1677628493853</v>
      </c>
      <c r="F2109" s="1">
        <v>1739.51761779046</v>
      </c>
      <c r="G2109" s="1">
        <v>8334.5665740226632</v>
      </c>
      <c r="H2109" s="1">
        <v>2.8159999999999998E-2</v>
      </c>
      <c r="I2109" s="1">
        <v>1512.6240154699658</v>
      </c>
      <c r="J2109" s="1">
        <v>211.80838814246928</v>
      </c>
      <c r="K2109" s="1">
        <v>8.6599857556731816E-2</v>
      </c>
      <c r="L2109" s="1">
        <v>98.070155859071605</v>
      </c>
      <c r="M2109" s="1">
        <v>1684.9741268013531</v>
      </c>
      <c r="N2109" s="1">
        <v>-14.90202180557147</v>
      </c>
      <c r="O2109" s="1">
        <v>3.373915182967711E-7</v>
      </c>
    </row>
    <row r="2110" spans="1:15" x14ac:dyDescent="0.25">
      <c r="A2110">
        <v>5998.58</v>
      </c>
      <c r="B2110" s="1">
        <v>0.1</v>
      </c>
      <c r="C2110" s="1">
        <v>16.979113248309048</v>
      </c>
      <c r="D2110" s="1">
        <v>572.4</v>
      </c>
      <c r="E2110" s="1">
        <v>4284.7682055310088</v>
      </c>
      <c r="F2110" s="1">
        <v>1758.0356776424142</v>
      </c>
      <c r="G2110" s="1">
        <v>8377.4142558909207</v>
      </c>
      <c r="H2110" s="1">
        <v>2.8159999999999998E-2</v>
      </c>
      <c r="I2110" s="1">
        <v>1528.7266762107952</v>
      </c>
      <c r="J2110" s="1">
        <v>214.23841027655044</v>
      </c>
      <c r="K2110" s="1">
        <v>8.6587667477121891E-2</v>
      </c>
      <c r="L2110" s="1">
        <v>98.084590644936924</v>
      </c>
      <c r="M2110" s="1">
        <v>1697.9113248308749</v>
      </c>
      <c r="N2110" s="1">
        <v>-14.90513180557147</v>
      </c>
      <c r="O2110" s="1">
        <v>3.3634386062696556E-7</v>
      </c>
    </row>
    <row r="2111" spans="1:15" x14ac:dyDescent="0.25">
      <c r="A2111">
        <v>6015.69</v>
      </c>
      <c r="B2111" s="1">
        <v>0.1</v>
      </c>
      <c r="C2111" s="1">
        <v>17.110613770886914</v>
      </c>
      <c r="D2111" s="1">
        <v>572.5</v>
      </c>
      <c r="E2111" s="1">
        <v>4334.3394211915684</v>
      </c>
      <c r="F2111" s="1">
        <v>1776.896513397018</v>
      </c>
      <c r="G2111" s="1">
        <v>8420.7576499034203</v>
      </c>
      <c r="H2111" s="1">
        <v>2.8159999999999998E-2</v>
      </c>
      <c r="I2111" s="1">
        <v>1545.127402953929</v>
      </c>
      <c r="J2111" s="1">
        <v>216.71697105957844</v>
      </c>
      <c r="K2111" s="1">
        <v>8.6575465746211472E-2</v>
      </c>
      <c r="L2111" s="1">
        <v>98.099043298347254</v>
      </c>
      <c r="M2111" s="1">
        <v>1711.061377088663</v>
      </c>
      <c r="N2111" s="1">
        <v>-14.908241805571469</v>
      </c>
      <c r="O2111" s="1">
        <v>3.3529945611123647E-7</v>
      </c>
    </row>
    <row r="2112" spans="1:15" x14ac:dyDescent="0.25">
      <c r="A2112">
        <v>6032.94</v>
      </c>
      <c r="B2112" s="1">
        <v>0.1</v>
      </c>
      <c r="C2112" s="1">
        <v>17.244299133076087</v>
      </c>
      <c r="D2112" s="1">
        <v>572.6</v>
      </c>
      <c r="E2112" s="1">
        <v>4384.9099182745376</v>
      </c>
      <c r="F2112" s="1">
        <v>1796.1094765349578</v>
      </c>
      <c r="G2112" s="1">
        <v>8464.6067488734461</v>
      </c>
      <c r="H2112" s="1">
        <v>2.8159999999999998E-2</v>
      </c>
      <c r="I2112" s="1">
        <v>1561.8343274217027</v>
      </c>
      <c r="J2112" s="1">
        <v>219.2454959137269</v>
      </c>
      <c r="K2112" s="1">
        <v>8.6563252045356864E-2</v>
      </c>
      <c r="L2112" s="1">
        <v>98.113514210279646</v>
      </c>
      <c r="M2112" s="1">
        <v>1724.4299133076311</v>
      </c>
      <c r="N2112" s="1">
        <v>-14.911351805571469</v>
      </c>
      <c r="O2112" s="1">
        <v>3.3425829464799067E-7</v>
      </c>
    </row>
    <row r="2113" spans="1:15" x14ac:dyDescent="0.25">
      <c r="A2113">
        <v>6050.32</v>
      </c>
      <c r="B2113" s="1">
        <v>0.1</v>
      </c>
      <c r="C2113" s="1">
        <v>17.3802276996575</v>
      </c>
      <c r="D2113" s="1">
        <v>572.70000000000005</v>
      </c>
      <c r="E2113" s="1">
        <v>4436.5093241157001</v>
      </c>
      <c r="F2113" s="1">
        <v>1815.6842607041813</v>
      </c>
      <c r="G2113" s="1">
        <v>8508.9718418875818</v>
      </c>
      <c r="H2113" s="1">
        <v>2.8159999999999998E-2</v>
      </c>
      <c r="I2113" s="1">
        <v>1578.8558788732014</v>
      </c>
      <c r="J2113" s="1">
        <v>221.82546620578501</v>
      </c>
      <c r="K2113" s="1">
        <v>8.6551026048338489E-2</v>
      </c>
      <c r="L2113" s="1">
        <v>98.128003781139626</v>
      </c>
      <c r="M2113" s="1">
        <v>1738.0227699657553</v>
      </c>
      <c r="N2113" s="1">
        <v>-14.914461805571472</v>
      </c>
      <c r="O2113" s="1">
        <v>3.3322036616700119E-7</v>
      </c>
    </row>
    <row r="2114" spans="1:15" x14ac:dyDescent="0.25">
      <c r="A2114">
        <v>6067.84</v>
      </c>
      <c r="B2114" s="1">
        <v>0.1</v>
      </c>
      <c r="C2114" s="1">
        <v>17.51846000042659</v>
      </c>
      <c r="D2114" s="1">
        <v>572.80000000000007</v>
      </c>
      <c r="E2114" s="1">
        <v>4489.1684402940782</v>
      </c>
      <c r="F2114" s="1">
        <v>1835.6309175585748</v>
      </c>
      <c r="G2114" s="1">
        <v>8553.863526048106</v>
      </c>
      <c r="H2114" s="1">
        <v>2.8159999999999998E-2</v>
      </c>
      <c r="I2114" s="1">
        <v>1596.2007978770221</v>
      </c>
      <c r="J2114" s="1">
        <v>224.45842201470393</v>
      </c>
      <c r="K2114" s="1">
        <v>8.6538787421103575E-2</v>
      </c>
      <c r="L2114" s="1">
        <v>98.142512421080497</v>
      </c>
      <c r="M2114" s="1">
        <v>1751.8460000426785</v>
      </c>
      <c r="N2114" s="1">
        <v>-14.917571805571471</v>
      </c>
      <c r="O2114" s="1">
        <v>3.3218566062931424E-7</v>
      </c>
    </row>
    <row r="2115" spans="1:15" x14ac:dyDescent="0.25">
      <c r="A2115">
        <v>6085.5</v>
      </c>
      <c r="B2115" s="1">
        <v>0.1</v>
      </c>
      <c r="C2115" s="1">
        <v>17.659058865304463</v>
      </c>
      <c r="D2115" s="1">
        <v>572.9</v>
      </c>
      <c r="E2115" s="1">
        <v>4542.919309524018</v>
      </c>
      <c r="F2115" s="1">
        <v>1855.9598744418142</v>
      </c>
      <c r="G2115" s="1">
        <v>8599.2927190611317</v>
      </c>
      <c r="H2115" s="1">
        <v>2.8159999999999998E-2</v>
      </c>
      <c r="I2115" s="1">
        <v>1613.8781516885344</v>
      </c>
      <c r="J2115" s="1">
        <v>227.1459654762009</v>
      </c>
      <c r="K2115" s="1">
        <v>8.6526535820538361E-2</v>
      </c>
      <c r="L2115" s="1">
        <v>98.157040551474367</v>
      </c>
      <c r="M2115" s="1">
        <v>1765.905886530436</v>
      </c>
      <c r="N2115" s="1">
        <v>-14.920681805571471</v>
      </c>
      <c r="O2115" s="1">
        <v>3.3115416802714516E-7</v>
      </c>
    </row>
    <row r="2116" spans="1:15" x14ac:dyDescent="0.25">
      <c r="A2116">
        <v>6103.3</v>
      </c>
      <c r="B2116" s="1">
        <v>0.1</v>
      </c>
      <c r="C2116" s="1">
        <v>17.802089410214467</v>
      </c>
      <c r="D2116" s="1">
        <v>573</v>
      </c>
      <c r="E2116" s="1">
        <v>4597.7952461482728</v>
      </c>
      <c r="F2116" s="1">
        <v>1876.6819492200068</v>
      </c>
      <c r="G2116" s="1">
        <v>8645.2706714343749</v>
      </c>
      <c r="H2116" s="1">
        <v>2.8159999999999998E-2</v>
      </c>
      <c r="I2116" s="1">
        <v>1631.8973471478325</v>
      </c>
      <c r="J2116" s="1">
        <v>229.88976230741366</v>
      </c>
      <c r="K2116" s="1">
        <v>8.6514270897800408E-2</v>
      </c>
      <c r="L2116" s="1">
        <v>98.171588600975738</v>
      </c>
      <c r="M2116" s="1">
        <v>1780.2089410214649</v>
      </c>
      <c r="N2116" s="1">
        <v>-14.92379180557147</v>
      </c>
      <c r="O2116" s="1">
        <v>3.3012587838378622E-7</v>
      </c>
    </row>
    <row r="2117" spans="1:15" x14ac:dyDescent="0.25">
      <c r="A2117">
        <v>6121.25</v>
      </c>
      <c r="B2117" s="1">
        <v>0.1</v>
      </c>
      <c r="C2117" s="1">
        <v>17.947619331742004</v>
      </c>
      <c r="D2117" s="1">
        <v>573.1</v>
      </c>
      <c r="E2117" s="1">
        <v>4653.8309481082952</v>
      </c>
      <c r="F2117" s="1">
        <v>1897.8083718240787</v>
      </c>
      <c r="G2117" s="1">
        <v>8691.8089808206987</v>
      </c>
      <c r="H2117" s="1">
        <v>2.8159999999999998E-2</v>
      </c>
      <c r="I2117" s="1">
        <v>1650.2681494122426</v>
      </c>
      <c r="J2117" s="1">
        <v>232.69154740541478</v>
      </c>
      <c r="K2117" s="1">
        <v>8.6501992292940352E-2</v>
      </c>
      <c r="L2117" s="1">
        <v>98.186157011915128</v>
      </c>
      <c r="M2117" s="1">
        <v>1794.7619331742317</v>
      </c>
      <c r="N2117" s="1">
        <v>-14.926901805571468</v>
      </c>
      <c r="O2117" s="1">
        <v>3.2910078175350921E-7</v>
      </c>
    </row>
    <row r="2118" spans="1:15" x14ac:dyDescent="0.25">
      <c r="A2118">
        <v>6139.34</v>
      </c>
      <c r="B2118" s="1">
        <v>0.1</v>
      </c>
      <c r="C2118" s="1">
        <v>18.095718914346762</v>
      </c>
      <c r="D2118" s="1">
        <v>573.20000000000005</v>
      </c>
      <c r="E2118" s="1">
        <v>4711.0625374963356</v>
      </c>
      <c r="F2118" s="1">
        <v>1919.3508030833107</v>
      </c>
      <c r="G2118" s="1">
        <v>8738.9196060938393</v>
      </c>
      <c r="H2118" s="1">
        <v>2.8159999999999998E-2</v>
      </c>
      <c r="I2118" s="1">
        <v>1669.0006983333139</v>
      </c>
      <c r="J2118" s="1">
        <v>235.5531268748168</v>
      </c>
      <c r="K2118" s="1">
        <v>8.6489699637765191E-2</v>
      </c>
      <c r="L2118" s="1">
        <v>98.200746236920963</v>
      </c>
      <c r="M2118" s="1">
        <v>1809.5718914346435</v>
      </c>
      <c r="N2118" s="1">
        <v>-14.930011805571469</v>
      </c>
      <c r="O2118" s="1">
        <v>3.2807886822146892E-7</v>
      </c>
    </row>
    <row r="2119" spans="1:15" x14ac:dyDescent="0.25">
      <c r="A2119">
        <v>6157.59</v>
      </c>
      <c r="B2119" s="1">
        <v>0.1</v>
      </c>
      <c r="C2119" s="1">
        <v>18.246461188254283</v>
      </c>
      <c r="D2119" s="1">
        <v>573.30000000000007</v>
      </c>
      <c r="E2119" s="1">
        <v>4769.5276421881426</v>
      </c>
      <c r="F2119" s="1">
        <v>1941.3213556662815</v>
      </c>
      <c r="G2119" s="1">
        <v>8786.6148824062402</v>
      </c>
      <c r="H2119" s="1">
        <v>2.8159999999999998E-2</v>
      </c>
      <c r="I2119" s="1">
        <v>1688.1055266663318</v>
      </c>
      <c r="J2119" s="1">
        <v>238.47638210940715</v>
      </c>
      <c r="K2119" s="1">
        <v>8.6477392554780555E-2</v>
      </c>
      <c r="L2119" s="1">
        <v>98.215356740191183</v>
      </c>
      <c r="M2119" s="1">
        <v>1824.6461188254216</v>
      </c>
      <c r="N2119" s="1">
        <v>-14.933121805571469</v>
      </c>
      <c r="O2119" s="1">
        <v>3.2706012790360766E-7</v>
      </c>
    </row>
    <row r="2120" spans="1:15" x14ac:dyDescent="0.25">
      <c r="A2120">
        <v>6175.99</v>
      </c>
      <c r="B2120" s="1">
        <v>0.1</v>
      </c>
      <c r="C2120" s="1">
        <v>18.399922067371673</v>
      </c>
      <c r="D2120" s="1">
        <v>573.4</v>
      </c>
      <c r="E2120" s="1">
        <v>4829.2654750417441</v>
      </c>
      <c r="F2120" s="1">
        <v>1963.7326162610386</v>
      </c>
      <c r="G2120" s="1">
        <v>8834.9075370388655</v>
      </c>
      <c r="H2120" s="1">
        <v>2.8159999999999998E-2</v>
      </c>
      <c r="I2120" s="1">
        <v>1707.5935793574254</v>
      </c>
      <c r="J2120" s="1">
        <v>241.46327375208722</v>
      </c>
      <c r="K2120" s="1">
        <v>8.6465070656856102E-2</v>
      </c>
      <c r="L2120" s="1">
        <v>98.229988997908592</v>
      </c>
      <c r="M2120" s="1">
        <v>1839.9922067371335</v>
      </c>
      <c r="N2120" s="1">
        <v>-14.936231805571472</v>
      </c>
      <c r="O2120" s="1">
        <v>3.2604455094655801E-7</v>
      </c>
    </row>
    <row r="2121" spans="1:15" x14ac:dyDescent="0.25">
      <c r="A2121">
        <v>6194.54</v>
      </c>
      <c r="B2121" s="1">
        <v>0.1</v>
      </c>
      <c r="C2121" s="1">
        <v>18.556180495705547</v>
      </c>
      <c r="D2121" s="1">
        <v>573.5</v>
      </c>
      <c r="E2121" s="1">
        <v>4890.3169181529811</v>
      </c>
      <c r="F2121" s="1">
        <v>1986.5976690814928</v>
      </c>
      <c r="G2121" s="1">
        <v>8883.8107060935781</v>
      </c>
      <c r="H2121" s="1">
        <v>2.8159999999999998E-2</v>
      </c>
      <c r="I2121" s="1">
        <v>1727.4762339839072</v>
      </c>
      <c r="J2121" s="1">
        <v>244.51584590764907</v>
      </c>
      <c r="K2121" s="1">
        <v>8.6452733546874702E-2</v>
      </c>
      <c r="L2121" s="1">
        <v>98.24464349867587</v>
      </c>
      <c r="M2121" s="1">
        <v>1855.6180495705121</v>
      </c>
      <c r="N2121" s="1">
        <v>-14.939341805571472</v>
      </c>
      <c r="O2121" s="1">
        <v>3.2503212752755248E-7</v>
      </c>
    </row>
    <row r="2122" spans="1:15" x14ac:dyDescent="0.25">
      <c r="A2122">
        <v>6213.26</v>
      </c>
      <c r="B2122" s="1">
        <v>0.1</v>
      </c>
      <c r="C2122" s="1">
        <v>18.715318602898176</v>
      </c>
      <c r="D2122" s="1">
        <v>573.6</v>
      </c>
      <c r="E2122" s="1">
        <v>4952.7246125459005</v>
      </c>
      <c r="F2122" s="1">
        <v>2009.9301207938904</v>
      </c>
      <c r="G2122" s="1">
        <v>8933.3379520824146</v>
      </c>
      <c r="H2122" s="1">
        <v>2.8159999999999998E-2</v>
      </c>
      <c r="I2122" s="1">
        <v>1747.7653224294706</v>
      </c>
      <c r="J2122" s="1">
        <v>247.63623062729505</v>
      </c>
      <c r="K2122" s="1">
        <v>8.6440380817365423E-2</v>
      </c>
      <c r="L2122" s="1">
        <v>98.25932074397106</v>
      </c>
      <c r="M2122" s="1">
        <v>1871.5318602898151</v>
      </c>
      <c r="N2122" s="1">
        <v>-14.942451805571471</v>
      </c>
      <c r="O2122" s="1">
        <v>3.2402284785432152E-7</v>
      </c>
    </row>
    <row r="2123" spans="1:15" x14ac:dyDescent="0.25">
      <c r="A2123">
        <v>6232.14</v>
      </c>
      <c r="B2123" s="1">
        <v>0.1</v>
      </c>
      <c r="C2123" s="1">
        <v>18.877421869559168</v>
      </c>
      <c r="D2123" s="1">
        <v>573.70000000000005</v>
      </c>
      <c r="E2123" s="1">
        <v>5016.5330537129903</v>
      </c>
      <c r="F2123" s="1">
        <v>2033.7441269650089</v>
      </c>
      <c r="G2123" s="1">
        <v>8983.5032824722603</v>
      </c>
      <c r="H2123" s="1">
        <v>2.8159999999999998E-2</v>
      </c>
      <c r="I2123" s="1">
        <v>1768.473153882617</v>
      </c>
      <c r="J2123" s="1">
        <v>250.82665268564952</v>
      </c>
      <c r="K2123" s="1">
        <v>8.6428012050118658E-2</v>
      </c>
      <c r="L2123" s="1">
        <v>98.274021248624777</v>
      </c>
      <c r="M2123" s="1">
        <v>1887.742186955893</v>
      </c>
      <c r="N2123" s="1">
        <v>-14.945561805571471</v>
      </c>
      <c r="O2123" s="1">
        <v>3.2301670216500333E-7</v>
      </c>
    </row>
    <row r="2124" spans="1:15" x14ac:dyDescent="0.25">
      <c r="A2124">
        <v>6251.18</v>
      </c>
      <c r="B2124" s="1">
        <v>0.1</v>
      </c>
      <c r="C2124" s="1">
        <v>19.04257930312497</v>
      </c>
      <c r="D2124" s="1">
        <v>573.80000000000007</v>
      </c>
      <c r="E2124" s="1">
        <v>5081.788693451861</v>
      </c>
      <c r="F2124" s="1">
        <v>2058.0544201421158</v>
      </c>
      <c r="G2124" s="1">
        <v>9034.3211692478872</v>
      </c>
      <c r="H2124" s="1">
        <v>2.8159999999999998E-2</v>
      </c>
      <c r="I2124" s="1">
        <v>1789.6125392540141</v>
      </c>
      <c r="J2124" s="1">
        <v>254.08943467259306</v>
      </c>
      <c r="K2124" s="1">
        <v>8.6415626815783408E-2</v>
      </c>
      <c r="L2124" s="1">
        <v>98.288745541320012</v>
      </c>
      <c r="M2124" s="1">
        <v>1904.2579303124512</v>
      </c>
      <c r="N2124" s="1">
        <v>-14.94867180557147</v>
      </c>
      <c r="O2124" s="1">
        <v>3.2201368072804834E-7</v>
      </c>
    </row>
    <row r="2125" spans="1:15" x14ac:dyDescent="0.25">
      <c r="A2125">
        <v>6270.39</v>
      </c>
      <c r="B2125" s="1">
        <v>0.1</v>
      </c>
      <c r="C2125" s="1">
        <v>19.210883625050069</v>
      </c>
      <c r="D2125" s="1">
        <v>573.9</v>
      </c>
      <c r="E2125" s="1">
        <v>5148.5400484964748</v>
      </c>
      <c r="F2125" s="1">
        <v>2082.8763396841882</v>
      </c>
      <c r="G2125" s="1">
        <v>9085.8065695613222</v>
      </c>
      <c r="H2125" s="1">
        <v>2.8159999999999998E-2</v>
      </c>
      <c r="I2125" s="1">
        <v>1811.1968171166861</v>
      </c>
      <c r="J2125" s="1">
        <v>257.42700242482374</v>
      </c>
      <c r="K2125" s="1">
        <v>8.6403224673443982E-2</v>
      </c>
      <c r="L2125" s="1">
        <v>98.303494165116959</v>
      </c>
      <c r="M2125" s="1">
        <v>1921.0883625049973</v>
      </c>
      <c r="N2125" s="1">
        <v>-14.95178180557147</v>
      </c>
      <c r="O2125" s="1">
        <v>3.2101377384212499E-7</v>
      </c>
    </row>
    <row r="2126" spans="1:15" x14ac:dyDescent="0.25">
      <c r="A2126">
        <v>6289.77</v>
      </c>
      <c r="B2126" s="1">
        <v>0.1</v>
      </c>
      <c r="C2126" s="1">
        <v>19.382431470184954</v>
      </c>
      <c r="D2126" s="1">
        <v>574</v>
      </c>
      <c r="E2126" s="1">
        <v>5216.8378164701326</v>
      </c>
      <c r="F2126" s="1">
        <v>2108.2258634736213</v>
      </c>
      <c r="G2126" s="1">
        <v>9137.9749475407152</v>
      </c>
      <c r="H2126" s="1">
        <v>2.8159999999999998E-2</v>
      </c>
      <c r="I2126" s="1">
        <v>1833.2398812814104</v>
      </c>
      <c r="J2126" s="1">
        <v>260.84189082350662</v>
      </c>
      <c r="K2126" s="1">
        <v>8.6390805170176624E-2</v>
      </c>
      <c r="L2126" s="1">
        <v>98.318267678003011</v>
      </c>
      <c r="M2126" s="1">
        <v>1938.2431470185111</v>
      </c>
      <c r="N2126" s="1">
        <v>-14.954891805571469</v>
      </c>
      <c r="O2126" s="1">
        <v>3.2001697183602623E-7</v>
      </c>
    </row>
    <row r="2127" spans="1:15" x14ac:dyDescent="0.25">
      <c r="A2127">
        <v>6309.33</v>
      </c>
      <c r="B2127" s="1">
        <v>0.1</v>
      </c>
      <c r="C2127" s="1">
        <v>19.557323599298044</v>
      </c>
      <c r="D2127" s="1">
        <v>574.1</v>
      </c>
      <c r="E2127" s="1">
        <v>5286.7349997461233</v>
      </c>
      <c r="F2127" s="1">
        <v>2134.119641649163</v>
      </c>
      <c r="G2127" s="1">
        <v>9190.8422973378438</v>
      </c>
      <c r="H2127" s="1">
        <v>2.8159999999999998E-2</v>
      </c>
      <c r="I2127" s="1">
        <v>1855.7562101297076</v>
      </c>
      <c r="J2127" s="1">
        <v>264.33674998730618</v>
      </c>
      <c r="K2127" s="1">
        <v>8.6378367840583753E-2</v>
      </c>
      <c r="L2127" s="1">
        <v>98.333066653470453</v>
      </c>
      <c r="M2127" s="1">
        <v>1955.7323599297888</v>
      </c>
      <c r="N2127" s="1">
        <v>-14.958001805571472</v>
      </c>
      <c r="O2127" s="1">
        <v>3.190232650685744E-7</v>
      </c>
    </row>
    <row r="2128" spans="1:15" x14ac:dyDescent="0.25">
      <c r="A2128">
        <v>6329.07</v>
      </c>
      <c r="B2128" s="1">
        <v>0.1</v>
      </c>
      <c r="C2128" s="1">
        <v>19.735665125764481</v>
      </c>
      <c r="D2128" s="1">
        <v>574.20000000000005</v>
      </c>
      <c r="E2128" s="1">
        <v>5358.2870378579446</v>
      </c>
      <c r="F2128" s="1">
        <v>2160.5750325127942</v>
      </c>
      <c r="G2128" s="1">
        <v>9244.4251674996813</v>
      </c>
      <c r="H2128" s="1">
        <v>2.8159999999999998E-2</v>
      </c>
      <c r="I2128" s="1">
        <v>1878.760897837213</v>
      </c>
      <c r="J2128" s="1">
        <v>267.91435189289723</v>
      </c>
      <c r="K2128" s="1">
        <v>8.6365912206304477E-2</v>
      </c>
      <c r="L2128" s="1">
        <v>98.347891681123357</v>
      </c>
      <c r="M2128" s="1">
        <v>1973.5665125764172</v>
      </c>
      <c r="N2128" s="1">
        <v>-14.961111805571472</v>
      </c>
      <c r="O2128" s="1">
        <v>3.1803264392853282E-7</v>
      </c>
    </row>
    <row r="2129" spans="1:15" x14ac:dyDescent="0.25">
      <c r="A2129">
        <v>6348.98</v>
      </c>
      <c r="B2129" s="1">
        <v>0.1</v>
      </c>
      <c r="C2129" s="1">
        <v>19.917565757542729</v>
      </c>
      <c r="D2129" s="1">
        <v>574.30000000000007</v>
      </c>
      <c r="E2129" s="1">
        <v>5431.5519491423993</v>
      </c>
      <c r="F2129" s="1">
        <v>2187.6101407766023</v>
      </c>
      <c r="G2129" s="1">
        <v>9298.7406867564296</v>
      </c>
      <c r="H2129" s="1">
        <v>2.8159999999999998E-2</v>
      </c>
      <c r="I2129" s="1">
        <v>1902.2696876318282</v>
      </c>
      <c r="J2129" s="1">
        <v>271.57759745711996</v>
      </c>
      <c r="K2129" s="1">
        <v>8.6353437775500891E-2</v>
      </c>
      <c r="L2129" s="1">
        <v>98.362743367314764</v>
      </c>
      <c r="M2129" s="1">
        <v>1991.7565757542434</v>
      </c>
      <c r="N2129" s="1">
        <v>-14.964221805571471</v>
      </c>
      <c r="O2129" s="1">
        <v>3.1704509883450586E-7</v>
      </c>
    </row>
    <row r="2130" spans="1:15" x14ac:dyDescent="0.25">
      <c r="A2130">
        <v>6369.09</v>
      </c>
      <c r="B2130" s="1">
        <v>0.1</v>
      </c>
      <c r="C2130" s="1">
        <v>20.103140055683841</v>
      </c>
      <c r="D2130" s="1">
        <v>574.4</v>
      </c>
      <c r="E2130" s="1">
        <v>5506.5904823996088</v>
      </c>
      <c r="F2130" s="1">
        <v>2215.2438583309927</v>
      </c>
      <c r="G2130" s="1">
        <v>9353.8065913261362</v>
      </c>
      <c r="H2130" s="1">
        <v>2.8159999999999998E-2</v>
      </c>
      <c r="I2130" s="1">
        <v>1926.299007244342</v>
      </c>
      <c r="J2130" s="1">
        <v>275.32952411998048</v>
      </c>
      <c r="K2130" s="1">
        <v>8.6340944042316903E-2</v>
      </c>
      <c r="L2130" s="1">
        <v>98.377622335817691</v>
      </c>
      <c r="M2130" s="1">
        <v>2010.314005568398</v>
      </c>
      <c r="N2130" s="1">
        <v>-14.967331805571471</v>
      </c>
      <c r="O2130" s="1">
        <v>3.1606062023485101E-7</v>
      </c>
    </row>
    <row r="2131" spans="1:15" x14ac:dyDescent="0.25">
      <c r="A2131">
        <v>6389.38</v>
      </c>
      <c r="B2131" s="1">
        <v>0.1</v>
      </c>
      <c r="C2131" s="1">
        <v>20.292507710685776</v>
      </c>
      <c r="D2131" s="1">
        <v>574.5</v>
      </c>
      <c r="E2131" s="1">
        <v>5583.4662793798452</v>
      </c>
      <c r="F2131" s="1">
        <v>2243.4959077309118</v>
      </c>
      <c r="G2131" s="1">
        <v>9409.6412538441782</v>
      </c>
      <c r="H2131" s="1">
        <v>2.8159999999999998E-2</v>
      </c>
      <c r="I2131" s="1">
        <v>1950.8660067225323</v>
      </c>
      <c r="J2131" s="1">
        <v>279.17331396899226</v>
      </c>
      <c r="K2131" s="1">
        <v>8.6328430486309796E-2</v>
      </c>
      <c r="L2131" s="1">
        <v>98.392529228530023</v>
      </c>
      <c r="M2131" s="1">
        <v>2029.2507710685641</v>
      </c>
      <c r="N2131" s="1">
        <v>-14.97044180557147</v>
      </c>
      <c r="O2131" s="1">
        <v>3.1507919860758509E-7</v>
      </c>
    </row>
    <row r="2132" spans="1:15" x14ac:dyDescent="0.25">
      <c r="A2132">
        <v>6409.87</v>
      </c>
      <c r="B2132" s="1">
        <v>0.1</v>
      </c>
      <c r="C2132" s="1">
        <v>20.485793875048753</v>
      </c>
      <c r="D2132" s="1">
        <v>574.6</v>
      </c>
      <c r="E2132" s="1">
        <v>5662.2460592469006</v>
      </c>
      <c r="F2132" s="1">
        <v>2272.3868897169782</v>
      </c>
      <c r="G2132" s="1">
        <v>9466.2637143345437</v>
      </c>
      <c r="H2132" s="1">
        <v>2.8159999999999998E-2</v>
      </c>
      <c r="I2132" s="1">
        <v>1975.9885997538943</v>
      </c>
      <c r="J2132" s="1">
        <v>283.11230296234504</v>
      </c>
      <c r="K2132" s="1">
        <v>8.6315896570973244E-2</v>
      </c>
      <c r="L2132" s="1">
        <v>98.407464707263401</v>
      </c>
      <c r="M2132" s="1">
        <v>2048.579387504833</v>
      </c>
      <c r="N2132" s="1">
        <v>-14.97355180557147</v>
      </c>
      <c r="O2132" s="1">
        <v>3.1410082446029227E-7</v>
      </c>
    </row>
    <row r="2133" spans="1:15" x14ac:dyDescent="0.25">
      <c r="A2133">
        <v>6430.55</v>
      </c>
      <c r="B2133" s="1">
        <v>0.1</v>
      </c>
      <c r="C2133" s="1">
        <v>20.683129338089731</v>
      </c>
      <c r="D2133" s="1">
        <v>574.70000000000005</v>
      </c>
      <c r="E2133" s="1">
        <v>5742.9997663947852</v>
      </c>
      <c r="F2133" s="1">
        <v>2301.9383295329212</v>
      </c>
      <c r="G2133" s="1">
        <v>9523.6937118870701</v>
      </c>
      <c r="H2133" s="1">
        <v>2.8159999999999998E-2</v>
      </c>
      <c r="I2133" s="1">
        <v>2001.6855039416716</v>
      </c>
      <c r="J2133" s="1">
        <v>287.14998831973929</v>
      </c>
      <c r="K2133" s="1">
        <v>8.6303341746401974E-2</v>
      </c>
      <c r="L2133" s="1">
        <v>98.422429450598415</v>
      </c>
      <c r="M2133" s="1">
        <v>2068.3129338090112</v>
      </c>
      <c r="N2133" s="1">
        <v>-14.976661805571469</v>
      </c>
      <c r="O2133" s="1">
        <v>3.131254883300324E-7</v>
      </c>
    </row>
    <row r="2134" spans="1:15" x14ac:dyDescent="0.25">
      <c r="A2134">
        <v>6451.43</v>
      </c>
      <c r="B2134" s="1">
        <v>0.1</v>
      </c>
      <c r="C2134" s="1">
        <v>20.884651070039563</v>
      </c>
      <c r="D2134" s="1">
        <v>574.80000000000007</v>
      </c>
      <c r="E2134" s="1">
        <v>5825.800827771488</v>
      </c>
      <c r="F2134" s="1">
        <v>2332.1727331844618</v>
      </c>
      <c r="G2134" s="1">
        <v>9581.9517200430964</v>
      </c>
      <c r="H2134" s="1">
        <v>2.8159999999999998E-2</v>
      </c>
      <c r="I2134" s="1">
        <v>2027.9762897256194</v>
      </c>
      <c r="J2134" s="1">
        <v>291.29004138857442</v>
      </c>
      <c r="K2134" s="1">
        <v>8.6290765443998302E-2</v>
      </c>
      <c r="L2134" s="1">
        <v>98.437424160224083</v>
      </c>
      <c r="M2134" s="1">
        <v>2088.4651070039581</v>
      </c>
      <c r="N2134" s="1">
        <v>-14.979771805571472</v>
      </c>
      <c r="O2134" s="1">
        <v>3.1215318078324818E-7</v>
      </c>
    </row>
    <row r="2135" spans="1:15" x14ac:dyDescent="0.25">
      <c r="A2135">
        <v>6472.52</v>
      </c>
      <c r="B2135" s="1">
        <v>0.1</v>
      </c>
      <c r="C2135" s="1">
        <v>21.090502454590055</v>
      </c>
      <c r="D2135" s="1">
        <v>574.9</v>
      </c>
      <c r="E2135" s="1">
        <v>5910.7263326810153</v>
      </c>
      <c r="F2135" s="1">
        <v>2363.1136430828274</v>
      </c>
      <c r="G2135" s="1">
        <v>9641.0589832368787</v>
      </c>
      <c r="H2135" s="1">
        <v>2.8159999999999998E-2</v>
      </c>
      <c r="I2135" s="1">
        <v>2054.881428767676</v>
      </c>
      <c r="J2135" s="1">
        <v>295.53631663405076</v>
      </c>
      <c r="K2135" s="1">
        <v>8.627816707865002E-2</v>
      </c>
      <c r="L2135" s="1">
        <v>98.452449558376685</v>
      </c>
      <c r="M2135" s="1">
        <v>2109.0502454590023</v>
      </c>
      <c r="N2135" s="1">
        <v>-14.982881805571472</v>
      </c>
      <c r="O2135" s="1">
        <v>3.111838924156784E-7</v>
      </c>
    </row>
    <row r="2136" spans="1:15" x14ac:dyDescent="0.25">
      <c r="A2136">
        <v>6493.82</v>
      </c>
      <c r="B2136" s="1">
        <v>0.1</v>
      </c>
      <c r="C2136" s="1">
        <v>21.300833711293357</v>
      </c>
      <c r="D2136" s="1">
        <v>575</v>
      </c>
      <c r="E2136" s="1">
        <v>5997.8572738441653</v>
      </c>
      <c r="F2136" s="1">
        <v>2394.7856987780019</v>
      </c>
      <c r="G2136" s="1">
        <v>9701.0375558297583</v>
      </c>
      <c r="H2136" s="1">
        <v>2.8159999999999998E-2</v>
      </c>
      <c r="I2136" s="1">
        <v>2082.4223467634806</v>
      </c>
      <c r="J2136" s="1">
        <v>299.89286369220827</v>
      </c>
      <c r="K2136" s="1">
        <v>8.6265546047321312E-2</v>
      </c>
      <c r="L2136" s="1">
        <v>98.467506389554302</v>
      </c>
      <c r="M2136" s="1">
        <v>2130.0833711293308</v>
      </c>
      <c r="N2136" s="1">
        <v>-14.985991805571471</v>
      </c>
      <c r="O2136" s="1">
        <v>3.1021761385226031E-7</v>
      </c>
    </row>
    <row r="2137" spans="1:15" x14ac:dyDescent="0.25">
      <c r="A2137">
        <v>6515.34</v>
      </c>
      <c r="B2137" s="1">
        <v>0.1</v>
      </c>
      <c r="C2137" s="1">
        <v>21.515802315455765</v>
      </c>
      <c r="D2137" s="1">
        <v>575.1</v>
      </c>
      <c r="E2137" s="1">
        <v>6087.2787976847139</v>
      </c>
      <c r="F2137" s="1">
        <v>2427.2147020438965</v>
      </c>
      <c r="G2137" s="1">
        <v>9761.9103436471869</v>
      </c>
      <c r="H2137" s="1">
        <v>2.8159999999999998E-2</v>
      </c>
      <c r="I2137" s="1">
        <v>2110.6214800381713</v>
      </c>
      <c r="J2137" s="1">
        <v>304.36393988423572</v>
      </c>
      <c r="K2137" s="1">
        <v>8.6252901728269993E-2</v>
      </c>
      <c r="L2137" s="1">
        <v>98.482595421487019</v>
      </c>
      <c r="M2137" s="1">
        <v>2151.5802315455403</v>
      </c>
      <c r="N2137" s="1">
        <v>-14.989101805571471</v>
      </c>
      <c r="O2137" s="1">
        <v>3.0925433574704361E-7</v>
      </c>
    </row>
    <row r="2138" spans="1:15" x14ac:dyDescent="0.25">
      <c r="A2138">
        <v>6537.08</v>
      </c>
      <c r="B2138" s="1">
        <v>0.1</v>
      </c>
      <c r="C2138" s="1">
        <v>21.735573449712849</v>
      </c>
      <c r="D2138" s="1">
        <v>575.20000000000005</v>
      </c>
      <c r="E2138" s="1">
        <v>6179.0804741309375</v>
      </c>
      <c r="F2138" s="1">
        <v>2460.4276866852319</v>
      </c>
      <c r="G2138" s="1">
        <v>9823.7011482137223</v>
      </c>
      <c r="H2138" s="1">
        <v>2.8159999999999998E-2</v>
      </c>
      <c r="I2138" s="1">
        <v>2139.5023362480283</v>
      </c>
      <c r="J2138" s="1">
        <v>308.95402370654688</v>
      </c>
      <c r="K2138" s="1">
        <v>8.6240233480221459E-2</v>
      </c>
      <c r="L2138" s="1">
        <v>98.497717446160721</v>
      </c>
      <c r="M2138" s="1">
        <v>2173.5573449713229</v>
      </c>
      <c r="N2138" s="1">
        <v>-14.99221180557147</v>
      </c>
      <c r="O2138" s="1">
        <v>3.0829404878309857E-7</v>
      </c>
    </row>
    <row r="2139" spans="1:15" x14ac:dyDescent="0.25">
      <c r="A2139">
        <v>6559.04</v>
      </c>
      <c r="B2139" s="1">
        <v>0.1</v>
      </c>
      <c r="C2139" s="1">
        <v>21.960320490192061</v>
      </c>
      <c r="D2139" s="1">
        <v>575.30000000000007</v>
      </c>
      <c r="E2139" s="1">
        <v>6273.3565877656438</v>
      </c>
      <c r="F2139" s="1">
        <v>2494.4529934743696</v>
      </c>
      <c r="G2139" s="1">
        <v>9886.4347138995781</v>
      </c>
      <c r="H2139" s="1">
        <v>2.8159999999999998E-2</v>
      </c>
      <c r="I2139" s="1">
        <v>2169.0895595429311</v>
      </c>
      <c r="J2139" s="1">
        <v>313.6678293882822</v>
      </c>
      <c r="K2139" s="1">
        <v>8.6227540641494238E-2</v>
      </c>
      <c r="L2139" s="1">
        <v>98.512873280901019</v>
      </c>
      <c r="M2139" s="1">
        <v>2196.0320490192316</v>
      </c>
      <c r="N2139" s="1">
        <v>-14.995321805571468</v>
      </c>
      <c r="O2139" s="1">
        <v>3.073367436724262E-7</v>
      </c>
    </row>
    <row r="2140" spans="1:15" x14ac:dyDescent="0.25">
      <c r="A2140">
        <v>6581.23</v>
      </c>
      <c r="B2140" s="1">
        <v>0.1</v>
      </c>
      <c r="C2140" s="1">
        <v>22.190225530369759</v>
      </c>
      <c r="D2140" s="1">
        <v>575.4</v>
      </c>
      <c r="E2140" s="1">
        <v>6370.2064523020854</v>
      </c>
      <c r="F2140" s="1">
        <v>2529.3203506657974</v>
      </c>
      <c r="G2140" s="1">
        <v>9950.1367782119087</v>
      </c>
      <c r="H2140" s="1">
        <v>2.8159999999999998E-2</v>
      </c>
      <c r="I2140" s="1">
        <v>2199.409000578954</v>
      </c>
      <c r="J2140" s="1">
        <v>318.51032261510431</v>
      </c>
      <c r="K2140" s="1">
        <v>8.6214822529074461E-2</v>
      </c>
      <c r="L2140" s="1">
        <v>98.52806376952006</v>
      </c>
      <c r="M2140" s="1">
        <v>2219.0225530369389</v>
      </c>
      <c r="N2140" s="1">
        <v>-14.998431805571469</v>
      </c>
      <c r="O2140" s="1">
        <v>3.0638241115586818E-7</v>
      </c>
    </row>
    <row r="2141" spans="1:15" x14ac:dyDescent="0.25">
      <c r="A2141">
        <v>6603.65</v>
      </c>
      <c r="B2141" s="1">
        <v>0.1</v>
      </c>
      <c r="C2141" s="1">
        <v>22.425479946134693</v>
      </c>
      <c r="D2141" s="1">
        <v>575.5</v>
      </c>
      <c r="E2141" s="1">
        <v>6469.7347506114329</v>
      </c>
      <c r="F2141" s="1">
        <v>2565.0609605824075</v>
      </c>
      <c r="G2141" s="1">
        <v>10014.834125486332</v>
      </c>
      <c r="H2141" s="1">
        <v>2.8159999999999998E-2</v>
      </c>
      <c r="I2141" s="1">
        <v>2230.48779181079</v>
      </c>
      <c r="J2141" s="1">
        <v>323.48673753057165</v>
      </c>
      <c r="K2141" s="1">
        <v>8.6202078437635776E-2</v>
      </c>
      <c r="L2141" s="1">
        <v>98.543289783531122</v>
      </c>
      <c r="M2141" s="1">
        <v>2242.5479946135056</v>
      </c>
      <c r="N2141" s="1">
        <v>-15.001541805571469</v>
      </c>
      <c r="O2141" s="1">
        <v>3.0543104200301758E-7</v>
      </c>
    </row>
    <row r="2142" spans="1:15" x14ac:dyDescent="0.25">
      <c r="A2142">
        <v>6626.32</v>
      </c>
      <c r="B2142" s="1">
        <v>0.1</v>
      </c>
      <c r="C2142" s="1">
        <v>22.666285005913675</v>
      </c>
      <c r="D2142" s="1">
        <v>575.6</v>
      </c>
      <c r="E2142" s="1">
        <v>6572.0519027510527</v>
      </c>
      <c r="F2142" s="1">
        <v>2601.7075928184622</v>
      </c>
      <c r="G2142" s="1">
        <v>10080.554644258787</v>
      </c>
      <c r="H2142" s="1">
        <v>2.8159999999999998E-2</v>
      </c>
      <c r="I2142" s="1">
        <v>2262.3544285377934</v>
      </c>
      <c r="J2142" s="1">
        <v>328.60259513755267</v>
      </c>
      <c r="K2142" s="1">
        <v>8.6189307638500481E-2</v>
      </c>
      <c r="L2142" s="1">
        <v>98.558552223436038</v>
      </c>
      <c r="M2142" s="1">
        <v>2266.6285005913778</v>
      </c>
      <c r="N2142" s="1">
        <v>-15.004651805571472</v>
      </c>
      <c r="O2142" s="1">
        <v>3.0448262701212833E-7</v>
      </c>
    </row>
    <row r="2143" spans="1:15" x14ac:dyDescent="0.25">
      <c r="A2143">
        <v>6649.23</v>
      </c>
      <c r="B2143" s="1">
        <v>0.1</v>
      </c>
      <c r="C2143" s="1">
        <v>22.912852530143791</v>
      </c>
      <c r="D2143" s="1">
        <v>575.70000000000005</v>
      </c>
      <c r="E2143" s="1">
        <v>6677.2744647409791</v>
      </c>
      <c r="F2143" s="1">
        <v>2639.2946846610621</v>
      </c>
      <c r="G2143" s="1">
        <v>10147.327388625114</v>
      </c>
      <c r="H2143" s="1">
        <v>2.8159999999999998E-2</v>
      </c>
      <c r="I2143" s="1">
        <v>2295.0388562270114</v>
      </c>
      <c r="J2143" s="1">
        <v>333.86372323704899</v>
      </c>
      <c r="K2143" s="1">
        <v>8.6176509378536714E-2</v>
      </c>
      <c r="L2143" s="1">
        <v>98.57385202009138</v>
      </c>
      <c r="M2143" s="1">
        <v>2291.2852530143937</v>
      </c>
      <c r="N2143" s="1">
        <v>-15.007761805571471</v>
      </c>
      <c r="O2143" s="1">
        <v>3.0353715701003066E-7</v>
      </c>
    </row>
    <row r="2144" spans="1:15" x14ac:dyDescent="0.25">
      <c r="A2144">
        <v>6672.4</v>
      </c>
      <c r="B2144" s="1">
        <v>0.1</v>
      </c>
      <c r="C2144" s="1">
        <v>23.165405643043794</v>
      </c>
      <c r="D2144" s="1">
        <v>575.80000000000007</v>
      </c>
      <c r="E2144" s="1">
        <v>6785.5255723260125</v>
      </c>
      <c r="F2144" s="1">
        <v>2677.8584505370418</v>
      </c>
      <c r="G2144" s="1">
        <v>10215.182644236218</v>
      </c>
      <c r="H2144" s="1">
        <v>2.8159999999999998E-2</v>
      </c>
      <c r="I2144" s="1">
        <v>2328.5725656843842</v>
      </c>
      <c r="J2144" s="1">
        <v>339.27627861630066</v>
      </c>
      <c r="K2144" s="1">
        <v>8.6163682878239986E-2</v>
      </c>
      <c r="L2144" s="1">
        <v>98.589190137053478</v>
      </c>
      <c r="M2144" s="1">
        <v>2316.5405643043414</v>
      </c>
      <c r="N2144" s="1">
        <v>-15.010871805571471</v>
      </c>
      <c r="O2144" s="1">
        <v>3.0259462285203547E-7</v>
      </c>
    </row>
    <row r="2145" spans="1:15" x14ac:dyDescent="0.25">
      <c r="A2145">
        <v>6695.82</v>
      </c>
      <c r="B2145" s="1">
        <v>0.1</v>
      </c>
      <c r="C2145" s="1">
        <v>23.42417939945469</v>
      </c>
      <c r="D2145" s="1">
        <v>575.9</v>
      </c>
      <c r="E2145" s="1">
        <v>6896.9353679197984</v>
      </c>
      <c r="F2145" s="1">
        <v>2717.4369955752577</v>
      </c>
      <c r="G2145" s="1">
        <v>10284.151997790887</v>
      </c>
      <c r="H2145" s="1">
        <v>2.8159999999999998E-2</v>
      </c>
      <c r="I2145" s="1">
        <v>2362.9886918045722</v>
      </c>
      <c r="J2145" s="1">
        <v>344.84676839598995</v>
      </c>
      <c r="K2145" s="1">
        <v>8.6150827333290297E-2</v>
      </c>
      <c r="L2145" s="1">
        <v>98.604567568769653</v>
      </c>
      <c r="M2145" s="1">
        <v>2342.417939945426</v>
      </c>
      <c r="N2145" s="1">
        <v>-15.01398180557147</v>
      </c>
      <c r="O2145" s="1">
        <v>3.0165501542185103E-7</v>
      </c>
    </row>
    <row r="2146" spans="1:15" x14ac:dyDescent="0.25">
      <c r="A2146">
        <v>6719.51</v>
      </c>
      <c r="B2146" s="1">
        <v>0.1</v>
      </c>
      <c r="C2146" s="1">
        <v>23.68942183309732</v>
      </c>
      <c r="D2146" s="1">
        <v>576</v>
      </c>
      <c r="E2146" s="1">
        <v>7011.6415726035439</v>
      </c>
      <c r="F2146" s="1">
        <v>2758.0704452915734</v>
      </c>
      <c r="G2146" s="1">
        <v>10354.268413378479</v>
      </c>
      <c r="H2146" s="1">
        <v>2.8159999999999998E-2</v>
      </c>
      <c r="I2146" s="1">
        <v>2398.3221263404989</v>
      </c>
      <c r="J2146" s="1">
        <v>350.58207863017719</v>
      </c>
      <c r="K2146" s="1">
        <v>8.6137941909306182E-2</v>
      </c>
      <c r="L2146" s="1">
        <v>98.619985346908237</v>
      </c>
      <c r="M2146" s="1">
        <v>2368.9421833097185</v>
      </c>
      <c r="N2146" s="1">
        <v>-15.01709180557147</v>
      </c>
      <c r="O2146" s="1">
        <v>3.0071832563149294E-7</v>
      </c>
    </row>
    <row r="2147" spans="1:15" x14ac:dyDescent="0.25">
      <c r="A2147">
        <v>6743.47</v>
      </c>
      <c r="B2147" s="1">
        <v>0.1</v>
      </c>
      <c r="C2147" s="1">
        <v>23.961394732568216</v>
      </c>
      <c r="D2147" s="1">
        <v>576.1</v>
      </c>
      <c r="E2147" s="1">
        <v>7129.7900029272832</v>
      </c>
      <c r="F2147" s="1">
        <v>2799.801081208871</v>
      </c>
      <c r="G2147" s="1">
        <v>10425.566313253648</v>
      </c>
      <c r="H2147" s="1">
        <v>2.8159999999999998E-2</v>
      </c>
      <c r="I2147" s="1">
        <v>2434.6096358338013</v>
      </c>
      <c r="J2147" s="1">
        <v>356.48950014636421</v>
      </c>
      <c r="K2147" s="1">
        <v>8.61250257428718E-2</v>
      </c>
      <c r="L2147" s="1">
        <v>98.635444539190942</v>
      </c>
      <c r="M2147" s="1">
        <v>2396.1394732567896</v>
      </c>
      <c r="N2147" s="1">
        <v>-15.020201805571469</v>
      </c>
      <c r="O2147" s="1">
        <v>2.9978454442119647E-7</v>
      </c>
    </row>
    <row r="2148" spans="1:15" x14ac:dyDescent="0.25">
      <c r="A2148">
        <v>6767.71</v>
      </c>
      <c r="B2148" s="1">
        <v>0.1</v>
      </c>
      <c r="C2148" s="1">
        <v>24.240374662936745</v>
      </c>
      <c r="D2148" s="1">
        <v>576.20000000000005</v>
      </c>
      <c r="E2148" s="1">
        <v>7251.5351860977798</v>
      </c>
      <c r="F2148" s="1">
        <v>2842.6734889284676</v>
      </c>
      <c r="G2148" s="1">
        <v>10498.081664942862</v>
      </c>
      <c r="H2148" s="1">
        <v>2.8159999999999998E-2</v>
      </c>
      <c r="I2148" s="1">
        <v>2471.889990372581</v>
      </c>
      <c r="J2148" s="1">
        <v>362.57675930488904</v>
      </c>
      <c r="K2148" s="1">
        <v>8.611207793947151E-2</v>
      </c>
      <c r="L2148" s="1">
        <v>98.650946251926996</v>
      </c>
      <c r="M2148" s="1">
        <v>2424.0374662937029</v>
      </c>
      <c r="N2148" s="1">
        <v>-15.023311805571469</v>
      </c>
      <c r="O2148" s="1">
        <v>2.9885366275932915E-7</v>
      </c>
    </row>
    <row r="2149" spans="1:15" x14ac:dyDescent="0.25">
      <c r="A2149">
        <v>6792.24</v>
      </c>
      <c r="B2149" s="1">
        <v>0.1</v>
      </c>
      <c r="C2149" s="1">
        <v>24.526654042646424</v>
      </c>
      <c r="D2149" s="1">
        <v>576.30000000000007</v>
      </c>
      <c r="E2149" s="1">
        <v>7377.0410210702412</v>
      </c>
      <c r="F2149" s="1">
        <v>2886.7347186841093</v>
      </c>
      <c r="G2149" s="1">
        <v>10571.852074961862</v>
      </c>
      <c r="H2149" s="1">
        <v>2.8159999999999998E-2</v>
      </c>
      <c r="I2149" s="1">
        <v>2510.204103203574</v>
      </c>
      <c r="J2149" s="1">
        <v>368.85205105351207</v>
      </c>
      <c r="K2149" s="1">
        <v>8.6099097571890049E-2</v>
      </c>
      <c r="L2149" s="1">
        <v>98.666491631994617</v>
      </c>
      <c r="M2149" s="1">
        <v>2452.6654042646442</v>
      </c>
      <c r="N2149" s="1">
        <v>-15.026421805571472</v>
      </c>
      <c r="O2149" s="1">
        <v>2.9792567164230211E-7</v>
      </c>
    </row>
    <row r="2150" spans="1:15" x14ac:dyDescent="0.25">
      <c r="A2150">
        <v>6817.06</v>
      </c>
      <c r="B2150" s="1">
        <v>0.1</v>
      </c>
      <c r="C2150" s="1">
        <v>24.820542317150849</v>
      </c>
      <c r="D2150" s="1">
        <v>576.4</v>
      </c>
      <c r="E2150" s="1">
        <v>7506.4815009086242</v>
      </c>
      <c r="F2150" s="1">
        <v>2932.034459634378</v>
      </c>
      <c r="G2150" s="1">
        <v>10646.9168897567</v>
      </c>
      <c r="H2150" s="1">
        <v>2.8159999999999998E-2</v>
      </c>
      <c r="I2150" s="1">
        <v>2549.5951822907637</v>
      </c>
      <c r="J2150" s="1">
        <v>375.32407504543124</v>
      </c>
      <c r="K2150" s="1">
        <v>8.6086083678503886E-2</v>
      </c>
      <c r="L2150" s="1">
        <v>98.682081868957056</v>
      </c>
      <c r="M2150" s="1">
        <v>2482.0542317151194</v>
      </c>
      <c r="N2150" s="1">
        <v>-15.029531805571471</v>
      </c>
      <c r="O2150" s="1">
        <v>2.9700056209448748E-7</v>
      </c>
    </row>
    <row r="2151" spans="1:15" x14ac:dyDescent="0.25">
      <c r="A2151">
        <v>6842.18</v>
      </c>
      <c r="B2151" s="1">
        <v>0.1</v>
      </c>
      <c r="C2151" s="1">
        <v>25.122367239639786</v>
      </c>
      <c r="D2151" s="1">
        <v>576.5</v>
      </c>
      <c r="E2151" s="1">
        <v>7640.0415031251614</v>
      </c>
      <c r="F2151" s="1">
        <v>2978.6252292961981</v>
      </c>
      <c r="G2151" s="1">
        <v>10723.317304548158</v>
      </c>
      <c r="H2151" s="1">
        <v>2.8159999999999998E-2</v>
      </c>
      <c r="I2151" s="1">
        <v>2590.1088950401731</v>
      </c>
      <c r="J2151" s="1">
        <v>382.00207515625812</v>
      </c>
      <c r="K2151" s="1">
        <v>8.6073035261455863E-2</v>
      </c>
      <c r="L2151" s="1">
        <v>98.697718197323098</v>
      </c>
      <c r="M2151" s="1">
        <v>2512.2367239639971</v>
      </c>
      <c r="N2151" s="1">
        <v>-15.032641805571471</v>
      </c>
      <c r="O2151" s="1">
        <v>2.9607832516812476E-7</v>
      </c>
    </row>
    <row r="2152" spans="1:15" x14ac:dyDescent="0.25">
      <c r="A2152">
        <v>6867.61</v>
      </c>
      <c r="B2152" s="1">
        <v>0.1</v>
      </c>
      <c r="C2152" s="1">
        <v>25.432476270547888</v>
      </c>
      <c r="D2152" s="1">
        <v>576.6</v>
      </c>
      <c r="E2152" s="1">
        <v>7777.91765561382</v>
      </c>
      <c r="F2152" s="1">
        <v>3026.5625796900104</v>
      </c>
      <c r="G2152" s="1">
        <v>10801.096480835526</v>
      </c>
      <c r="H2152" s="1">
        <v>2.8159999999999998E-2</v>
      </c>
      <c r="I2152" s="1">
        <v>2631.7935475565314</v>
      </c>
      <c r="J2152" s="1">
        <v>388.89588278069101</v>
      </c>
      <c r="K2152" s="1">
        <v>8.6059951284702479E-2</v>
      </c>
      <c r="L2152" s="1">
        <v>98.713401898965103</v>
      </c>
      <c r="M2152" s="1">
        <v>2543.247627054825</v>
      </c>
      <c r="N2152" s="1">
        <v>-15.03575180557147</v>
      </c>
      <c r="O2152" s="1">
        <v>2.9515895194323912E-7</v>
      </c>
    </row>
    <row r="2153" spans="1:15" x14ac:dyDescent="0.25">
      <c r="A2153">
        <v>6893.37</v>
      </c>
      <c r="B2153" s="1">
        <v>0.1</v>
      </c>
      <c r="C2153" s="1">
        <v>25.75123810900811</v>
      </c>
      <c r="D2153" s="1">
        <v>576.70000000000005</v>
      </c>
      <c r="E2153" s="1">
        <v>7920.3192867646876</v>
      </c>
      <c r="F2153" s="1">
        <v>3075.9053219574844</v>
      </c>
      <c r="G2153" s="1">
        <v>10880.29967340147</v>
      </c>
      <c r="H2153" s="1">
        <v>2.8159999999999998E-2</v>
      </c>
      <c r="I2153" s="1">
        <v>2674.70027996303</v>
      </c>
      <c r="J2153" s="1">
        <v>396.01596433823443</v>
      </c>
      <c r="K2153" s="1">
        <v>8.6046830671922592E-2</v>
      </c>
      <c r="L2153" s="1">
        <v>98.729134305708428</v>
      </c>
      <c r="M2153" s="1">
        <v>2575.1238109008227</v>
      </c>
      <c r="N2153" s="1">
        <v>-15.03886180557147</v>
      </c>
      <c r="O2153" s="1">
        <v>2.9424243352755356E-7</v>
      </c>
    </row>
    <row r="2154" spans="1:15" x14ac:dyDescent="0.25">
      <c r="A2154">
        <v>6919.44</v>
      </c>
      <c r="B2154" s="1">
        <v>0.1</v>
      </c>
      <c r="C2154" s="1">
        <v>26.079044412890294</v>
      </c>
      <c r="D2154" s="1">
        <v>576.80000000000007</v>
      </c>
      <c r="E2154" s="1">
        <v>8067.4694824392827</v>
      </c>
      <c r="F2154" s="1">
        <v>3126.7157726777218</v>
      </c>
      <c r="G2154" s="1">
        <v>10960.974368096264</v>
      </c>
      <c r="H2154" s="1">
        <v>2.8159999999999998E-2</v>
      </c>
      <c r="I2154" s="1">
        <v>2718.8832805893239</v>
      </c>
      <c r="J2154" s="1">
        <v>403.37347412196414</v>
      </c>
      <c r="K2154" s="1">
        <v>8.6033672303597264E-2</v>
      </c>
      <c r="L2154" s="1">
        <v>98.744916802920798</v>
      </c>
      <c r="M2154" s="1">
        <v>2607.9044412890653</v>
      </c>
      <c r="N2154" s="1">
        <v>-15.041971805571469</v>
      </c>
      <c r="O2154" s="1">
        <v>2.9332876105640318E-7</v>
      </c>
    </row>
    <row r="2155" spans="1:15" x14ac:dyDescent="0.25">
      <c r="A2155">
        <v>6945.86</v>
      </c>
      <c r="B2155" s="1">
        <v>0.1</v>
      </c>
      <c r="C2155" s="1">
        <v>26.41631148188586</v>
      </c>
      <c r="D2155" s="1">
        <v>576.9</v>
      </c>
      <c r="E2155" s="1">
        <v>8219.6061858102348</v>
      </c>
      <c r="F2155" s="1">
        <v>3179.060017961116</v>
      </c>
      <c r="G2155" s="1">
        <v>11043.170429807569</v>
      </c>
      <c r="H2155" s="1">
        <v>2.8159999999999998E-2</v>
      </c>
      <c r="I2155" s="1">
        <v>2764.4000156183629</v>
      </c>
      <c r="J2155" s="1">
        <v>410.98030929051174</v>
      </c>
      <c r="K2155" s="1">
        <v>8.6020475017131365E-2</v>
      </c>
      <c r="L2155" s="1">
        <v>98.760750829459155</v>
      </c>
      <c r="M2155" s="1">
        <v>2641.6311481885714</v>
      </c>
      <c r="N2155" s="1">
        <v>-15.045081805571467</v>
      </c>
      <c r="O2155" s="1">
        <v>2.9241792569264934E-7</v>
      </c>
    </row>
    <row r="2156" spans="1:15" x14ac:dyDescent="0.25">
      <c r="A2156">
        <v>6972.62</v>
      </c>
      <c r="B2156" s="1">
        <v>0.1</v>
      </c>
      <c r="C2156" s="1">
        <v>26.76348250909054</v>
      </c>
      <c r="D2156" s="1">
        <v>577</v>
      </c>
      <c r="E2156" s="1">
        <v>8376.9835337477616</v>
      </c>
      <c r="F2156" s="1">
        <v>3233.0082099532024</v>
      </c>
      <c r="G2156" s="1">
        <v>11126.940264978486</v>
      </c>
      <c r="H2156" s="1">
        <v>2.8159999999999998E-2</v>
      </c>
      <c r="I2156" s="1">
        <v>2811.3114869158294</v>
      </c>
      <c r="J2156" s="1">
        <v>418.84917668738808</v>
      </c>
      <c r="K2156" s="1">
        <v>8.6007237600740291E-2</v>
      </c>
      <c r="L2156" s="1">
        <v>98.776637885101366</v>
      </c>
      <c r="M2156" s="1">
        <v>2676.3482509090863</v>
      </c>
      <c r="N2156" s="1">
        <v>-15.048191805571472</v>
      </c>
      <c r="O2156" s="1">
        <v>2.9150991862659306E-7</v>
      </c>
    </row>
    <row r="2157" spans="1:15" x14ac:dyDescent="0.25">
      <c r="A2157">
        <v>6999.74</v>
      </c>
      <c r="B2157" s="1">
        <v>0.1</v>
      </c>
      <c r="C2157" s="1">
        <v>27.121029665802176</v>
      </c>
      <c r="D2157" s="1">
        <v>577.1</v>
      </c>
      <c r="E2157" s="1">
        <v>8539.8732106524385</v>
      </c>
      <c r="F2157" s="1">
        <v>3288.6348866122567</v>
      </c>
      <c r="G2157" s="1">
        <v>11212.338996895693</v>
      </c>
      <c r="H2157" s="1">
        <v>2.8159999999999998E-2</v>
      </c>
      <c r="I2157" s="1">
        <v>2859.6825100976143</v>
      </c>
      <c r="J2157" s="1">
        <v>426.99366053262196</v>
      </c>
      <c r="K2157" s="1">
        <v>8.5993958792851488E-2</v>
      </c>
      <c r="L2157" s="1">
        <v>98.79257953137126</v>
      </c>
      <c r="M2157" s="1">
        <v>2712.1029665801871</v>
      </c>
      <c r="N2157" s="1">
        <v>-15.051301805571471</v>
      </c>
      <c r="O2157" s="1">
        <v>2.906047310758945E-7</v>
      </c>
    </row>
    <row r="2158" spans="1:15" x14ac:dyDescent="0.25">
      <c r="A2158">
        <v>7027.23</v>
      </c>
      <c r="B2158" s="1">
        <v>0.1</v>
      </c>
      <c r="C2158" s="1">
        <v>27.489456594177099</v>
      </c>
      <c r="D2158" s="1">
        <v>577.20000000000005</v>
      </c>
      <c r="E2158" s="1">
        <v>8708.5660052879994</v>
      </c>
      <c r="F2158" s="1">
        <v>3346.0193238845213</v>
      </c>
      <c r="G2158" s="1">
        <v>11299.424656732988</v>
      </c>
      <c r="H2158" s="1">
        <v>2.8159999999999998E-2</v>
      </c>
      <c r="I2158" s="1">
        <v>2909.5820207691499</v>
      </c>
      <c r="J2158" s="1">
        <v>435.42830026439998</v>
      </c>
      <c r="K2158" s="1">
        <v>8.5980637278602556E-2</v>
      </c>
      <c r="L2158" s="1">
        <v>98.808577395853433</v>
      </c>
      <c r="M2158" s="1">
        <v>2748.9456594176772</v>
      </c>
      <c r="N2158" s="1">
        <v>-15.054411805571471</v>
      </c>
      <c r="O2158" s="1">
        <v>2.8970235428548083E-7</v>
      </c>
    </row>
    <row r="2159" spans="1:15" x14ac:dyDescent="0.25">
      <c r="A2159">
        <v>7055.1</v>
      </c>
      <c r="B2159" s="1">
        <v>0.1</v>
      </c>
      <c r="C2159" s="1">
        <v>27.869301122797232</v>
      </c>
      <c r="D2159" s="1">
        <v>577.30000000000007</v>
      </c>
      <c r="E2159" s="1">
        <v>8883.3735238003974</v>
      </c>
      <c r="F2159" s="1">
        <v>3405.2459227444892</v>
      </c>
      <c r="G2159" s="1">
        <v>11388.258391725034</v>
      </c>
      <c r="H2159" s="1">
        <v>2.8159999999999998E-2</v>
      </c>
      <c r="I2159" s="1">
        <v>2961.0834110821647</v>
      </c>
      <c r="J2159" s="1">
        <v>444.16867619001988</v>
      </c>
      <c r="K2159" s="1">
        <v>8.5967271686608893E-2</v>
      </c>
      <c r="L2159" s="1">
        <v>98.824633176193743</v>
      </c>
      <c r="M2159" s="1">
        <v>2786.9301122796969</v>
      </c>
      <c r="N2159" s="1">
        <v>-15.05752180557147</v>
      </c>
      <c r="O2159" s="1">
        <v>2.8880277952746644E-7</v>
      </c>
    </row>
    <row r="2160" spans="1:15" x14ac:dyDescent="0.25">
      <c r="A2160">
        <v>7083.36</v>
      </c>
      <c r="B2160" s="1">
        <v>0.1</v>
      </c>
      <c r="C2160" s="1">
        <v>28.261138271847663</v>
      </c>
      <c r="D2160" s="1">
        <v>577.4</v>
      </c>
      <c r="E2160" s="1">
        <v>9064.630090894887</v>
      </c>
      <c r="F2160" s="1">
        <v>3466.4046352351961</v>
      </c>
      <c r="G2160" s="1">
        <v>11478.904692352824</v>
      </c>
      <c r="H2160" s="1">
        <v>2.8159999999999998E-2</v>
      </c>
      <c r="I2160" s="1">
        <v>3014.2649002045191</v>
      </c>
      <c r="J2160" s="1">
        <v>453.23150454474438</v>
      </c>
      <c r="K2160" s="1">
        <v>8.5953860585472261E-2</v>
      </c>
      <c r="L2160" s="1">
        <v>98.840748644420046</v>
      </c>
      <c r="M2160" s="1">
        <v>2826.1138271847813</v>
      </c>
      <c r="N2160" s="1">
        <v>-15.06063180557147</v>
      </c>
      <c r="O2160" s="1">
        <v>2.8790599810106742E-7</v>
      </c>
    </row>
    <row r="2161" spans="1:15" x14ac:dyDescent="0.25">
      <c r="A2161">
        <v>7112.03</v>
      </c>
      <c r="B2161" s="1">
        <v>0.1</v>
      </c>
      <c r="C2161" s="1">
        <v>28.665583584913723</v>
      </c>
      <c r="D2161" s="1">
        <v>577.5</v>
      </c>
      <c r="E2161" s="1">
        <v>9252.694863789302</v>
      </c>
      <c r="F2161" s="1">
        <v>3529.5914342187357</v>
      </c>
      <c r="G2161" s="1">
        <v>11571.431640668681</v>
      </c>
      <c r="H2161" s="1">
        <v>2.8159999999999998E-2</v>
      </c>
      <c r="I2161" s="1">
        <v>3069.2099427989006</v>
      </c>
      <c r="J2161" s="1">
        <v>462.6347431894651</v>
      </c>
      <c r="K2161" s="1">
        <v>8.5940402480004188E-2</v>
      </c>
      <c r="L2161" s="1">
        <v>98.856925651615413</v>
      </c>
      <c r="M2161" s="1">
        <v>2866.5583584913293</v>
      </c>
      <c r="N2161" s="1">
        <v>-15.063741805571469</v>
      </c>
      <c r="O2161" s="1">
        <v>2.8701200133251706E-7</v>
      </c>
    </row>
    <row r="2162" spans="1:15" x14ac:dyDescent="0.25">
      <c r="A2162">
        <v>7141.11</v>
      </c>
      <c r="B2162" s="1">
        <v>0.1</v>
      </c>
      <c r="C2162" s="1">
        <v>29.083296875479224</v>
      </c>
      <c r="D2162" s="1">
        <v>577.6</v>
      </c>
      <c r="E2162" s="1">
        <v>9447.9542021724155</v>
      </c>
      <c r="F2162" s="1">
        <v>3594.9088335752213</v>
      </c>
      <c r="G2162" s="1">
        <v>11665.911182542048</v>
      </c>
      <c r="H2162" s="1">
        <v>2.8159999999999998E-2</v>
      </c>
      <c r="I2162" s="1">
        <v>3126.0076813697592</v>
      </c>
      <c r="J2162" s="1">
        <v>472.3977101086208</v>
      </c>
      <c r="K2162" s="1">
        <v>8.5926895806513567E-2</v>
      </c>
      <c r="L2162" s="1">
        <v>98.873166133727167</v>
      </c>
      <c r="M2162" s="1">
        <v>2908.3296875479391</v>
      </c>
      <c r="N2162" s="1">
        <v>-15.066851805571469</v>
      </c>
      <c r="O2162" s="1">
        <v>2.8612078057498232E-7</v>
      </c>
    </row>
    <row r="2163" spans="1:15" x14ac:dyDescent="0.25">
      <c r="A2163">
        <v>7170.63</v>
      </c>
      <c r="B2163" s="1">
        <v>0.1</v>
      </c>
      <c r="C2163" s="1">
        <v>29.514986174288797</v>
      </c>
      <c r="D2163" s="1">
        <v>577.70000000000005</v>
      </c>
      <c r="E2163" s="1">
        <v>9650.8242414897977</v>
      </c>
      <c r="F2163" s="1">
        <v>3662.4664583439171</v>
      </c>
      <c r="G2163" s="1">
        <v>11762.419424785176</v>
      </c>
      <c r="H2163" s="1">
        <v>2.8159999999999998E-2</v>
      </c>
      <c r="I2163" s="1">
        <v>3184.753442038189</v>
      </c>
      <c r="J2163" s="1">
        <v>482.54121207448992</v>
      </c>
      <c r="K2163" s="1">
        <v>8.5913338930670907E-2</v>
      </c>
      <c r="L2163" s="1">
        <v>98.889472114289433</v>
      </c>
      <c r="M2163" s="1">
        <v>2951.4986174288424</v>
      </c>
      <c r="N2163" s="1">
        <v>-15.069961805571472</v>
      </c>
      <c r="O2163" s="1">
        <v>2.8523232720847883E-7</v>
      </c>
    </row>
    <row r="2164" spans="1:15" x14ac:dyDescent="0.25">
      <c r="A2164">
        <v>7200.59</v>
      </c>
      <c r="B2164" s="1">
        <v>0.1</v>
      </c>
      <c r="C2164" s="1">
        <v>29.961412567523073</v>
      </c>
      <c r="D2164" s="1">
        <v>577.80000000000007</v>
      </c>
      <c r="E2164" s="1">
        <v>9861.7539129701727</v>
      </c>
      <c r="F2164" s="1">
        <v>3732.3816849401082</v>
      </c>
      <c r="G2164" s="1">
        <v>11861.036963715533</v>
      </c>
      <c r="H2164" s="1">
        <v>2.8159999999999998E-2</v>
      </c>
      <c r="I2164" s="1">
        <v>3245.5492912522686</v>
      </c>
      <c r="J2164" s="1">
        <v>493.08769564850866</v>
      </c>
      <c r="K2164" s="1">
        <v>8.589973013948507E-2</v>
      </c>
      <c r="L2164" s="1">
        <v>98.905845714237401</v>
      </c>
      <c r="M2164" s="1">
        <v>2996.1412567523439</v>
      </c>
      <c r="N2164" s="1">
        <v>-15.073071805571471</v>
      </c>
      <c r="O2164" s="1">
        <v>2.8434663263979198E-7</v>
      </c>
    </row>
    <row r="2165" spans="1:15" x14ac:dyDescent="0.25">
      <c r="A2165">
        <v>7231.01</v>
      </c>
      <c r="B2165" s="1">
        <v>0.1</v>
      </c>
      <c r="C2165" s="1">
        <v>30.423395177268912</v>
      </c>
      <c r="D2165" s="1">
        <v>577.9</v>
      </c>
      <c r="E2165" s="1">
        <v>10081.228191049086</v>
      </c>
      <c r="F2165" s="1">
        <v>3804.7803467221042</v>
      </c>
      <c r="G2165" s="1">
        <v>11961.84924539412</v>
      </c>
      <c r="H2165" s="1">
        <v>2.8159999999999998E-2</v>
      </c>
      <c r="I2165" s="1">
        <v>3308.50464932357</v>
      </c>
      <c r="J2165" s="1">
        <v>504.06140955245428</v>
      </c>
      <c r="K2165" s="1">
        <v>8.5886067638026656E-2</v>
      </c>
      <c r="L2165" s="1">
        <v>98.922289156028981</v>
      </c>
      <c r="M2165" s="1">
        <v>3042.3395177268503</v>
      </c>
      <c r="N2165" s="1">
        <v>-15.076181805571471</v>
      </c>
      <c r="O2165" s="1">
        <v>2.8346368830238744E-7</v>
      </c>
    </row>
    <row r="2166" spans="1:15" x14ac:dyDescent="0.25">
      <c r="A2166">
        <v>7261.92</v>
      </c>
      <c r="B2166" s="1">
        <v>0.1</v>
      </c>
      <c r="C2166" s="1">
        <v>30.901816950015473</v>
      </c>
      <c r="D2166" s="1">
        <v>578</v>
      </c>
      <c r="E2166" s="1">
        <v>10309.771810033208</v>
      </c>
      <c r="F2166" s="1">
        <v>3879.7975205982711</v>
      </c>
      <c r="G2166" s="1">
        <v>12064.946963223992</v>
      </c>
      <c r="H2166" s="1">
        <v>2.8159999999999998E-2</v>
      </c>
      <c r="I2166" s="1">
        <v>3373.73697443328</v>
      </c>
      <c r="J2166" s="1">
        <v>515.48859050166038</v>
      </c>
      <c r="K2166" s="1">
        <v>8.5872349543248391E-2</v>
      </c>
      <c r="L2166" s="1">
        <v>98.938804771272402</v>
      </c>
      <c r="M2166" s="1">
        <v>3090.1816950015927</v>
      </c>
      <c r="N2166" s="1">
        <v>-15.07929180557147</v>
      </c>
      <c r="O2166" s="1">
        <v>2.8258348565633234E-7</v>
      </c>
    </row>
    <row r="2167" spans="1:15" x14ac:dyDescent="0.25">
      <c r="A2167">
        <v>7293.31</v>
      </c>
      <c r="B2167" s="1">
        <v>0.1</v>
      </c>
      <c r="C2167" s="1">
        <v>31.397631114629991</v>
      </c>
      <c r="D2167" s="1">
        <v>578.1</v>
      </c>
      <c r="E2167" s="1">
        <v>10547.953436817714</v>
      </c>
      <c r="F2167" s="1">
        <v>3957.5784042615651</v>
      </c>
      <c r="G2167" s="1">
        <v>12170.426497275939</v>
      </c>
      <c r="H2167" s="1">
        <v>2.8159999999999998E-2</v>
      </c>
      <c r="I2167" s="1">
        <v>3441.3725254448404</v>
      </c>
      <c r="J2167" s="1">
        <v>527.39767184088566</v>
      </c>
      <c r="K2167" s="1">
        <v>8.585857387773263E-2</v>
      </c>
      <c r="L2167" s="1">
        <v>98.955395008459121</v>
      </c>
      <c r="M2167" s="1">
        <v>3139.7631114629803</v>
      </c>
      <c r="N2167" s="1">
        <v>-15.08240180557147</v>
      </c>
      <c r="O2167" s="1">
        <v>2.8170601618821178E-7</v>
      </c>
    </row>
    <row r="2168" spans="1:15" x14ac:dyDescent="0.25">
      <c r="A2168">
        <v>7325.22</v>
      </c>
      <c r="B2168" s="1">
        <v>0.1</v>
      </c>
      <c r="C2168" s="1">
        <v>31.911868496301153</v>
      </c>
      <c r="D2168" s="1">
        <v>578.20000000000005</v>
      </c>
      <c r="E2168" s="1">
        <v>10796.39039757705</v>
      </c>
      <c r="F2168" s="1">
        <v>4038.2792979809924</v>
      </c>
      <c r="G2168" s="1">
        <v>12278.390401096685</v>
      </c>
      <c r="H2168" s="1">
        <v>2.8159999999999998E-2</v>
      </c>
      <c r="I2168" s="1">
        <v>3511.5472156356464</v>
      </c>
      <c r="J2168" s="1">
        <v>539.81951987885247</v>
      </c>
      <c r="K2168" s="1">
        <v>8.5844738562311604E-2</v>
      </c>
      <c r="L2168" s="1">
        <v>98.97206244207284</v>
      </c>
      <c r="M2168" s="1">
        <v>3191.1868496301395</v>
      </c>
      <c r="N2168" s="1">
        <v>-15.085511805571469</v>
      </c>
      <c r="O2168" s="1">
        <v>2.8083127141104657E-7</v>
      </c>
    </row>
    <row r="2169" spans="1:15" x14ac:dyDescent="0.25">
      <c r="A2169">
        <v>7357.67</v>
      </c>
      <c r="B2169" s="1">
        <v>0.1</v>
      </c>
      <c r="C2169" s="1">
        <v>32.445645546340671</v>
      </c>
      <c r="D2169" s="1">
        <v>578.30000000000007</v>
      </c>
      <c r="E2169" s="1">
        <v>11055.753952678504</v>
      </c>
      <c r="F2169" s="1">
        <v>4122.0686989255128</v>
      </c>
      <c r="G2169" s="1">
        <v>12388.947940439892</v>
      </c>
      <c r="H2169" s="1">
        <v>2.8159999999999998E-2</v>
      </c>
      <c r="I2169" s="1">
        <v>3584.4075642830558</v>
      </c>
      <c r="J2169" s="1">
        <v>552.78769763392518</v>
      </c>
      <c r="K2169" s="1">
        <v>8.5830841410543146E-2</v>
      </c>
      <c r="L2169" s="1">
        <v>98.98880977948329</v>
      </c>
      <c r="M2169" s="1">
        <v>3244.5645546340529</v>
      </c>
      <c r="N2169" s="1">
        <v>-15.088621805571469</v>
      </c>
      <c r="O2169" s="1">
        <v>2.7995924286421081E-7</v>
      </c>
    </row>
    <row r="2170" spans="1:15" x14ac:dyDescent="0.25">
      <c r="A2170">
        <v>7390.67</v>
      </c>
      <c r="B2170" s="1">
        <v>0.1</v>
      </c>
      <c r="C2170" s="1">
        <v>33.000173861055643</v>
      </c>
      <c r="D2170" s="1">
        <v>578.4</v>
      </c>
      <c r="E2170" s="1">
        <v>11326.775430424263</v>
      </c>
      <c r="F2170" s="1">
        <v>4209.1285380486524</v>
      </c>
      <c r="G2170" s="1">
        <v>12502.215694526081</v>
      </c>
      <c r="H2170" s="1">
        <v>2.8159999999999998E-2</v>
      </c>
      <c r="I2170" s="1">
        <v>3660.1117722162198</v>
      </c>
      <c r="J2170" s="1">
        <v>566.33877152121318</v>
      </c>
      <c r="K2170" s="1">
        <v>8.5816880117728894E-2</v>
      </c>
      <c r="L2170" s="1">
        <v>99.005639874437293</v>
      </c>
      <c r="M2170" s="1">
        <v>3300.0173861055373</v>
      </c>
      <c r="N2170" s="1">
        <v>-15.091731805571472</v>
      </c>
      <c r="O2170" s="1">
        <v>2.790899221133495E-7</v>
      </c>
    </row>
    <row r="2171" spans="1:15" x14ac:dyDescent="0.25">
      <c r="A2171">
        <v>7424.25</v>
      </c>
      <c r="B2171" s="1">
        <v>0.1</v>
      </c>
      <c r="C2171" s="1">
        <v>33.576770553994145</v>
      </c>
      <c r="D2171" s="1">
        <v>578.5</v>
      </c>
      <c r="E2171" s="1">
        <v>11610.253064442855</v>
      </c>
      <c r="F2171" s="1">
        <v>4299.6555668201136</v>
      </c>
      <c r="G2171" s="1">
        <v>12618.31822491069</v>
      </c>
      <c r="H2171" s="1">
        <v>2.8159999999999998E-2</v>
      </c>
      <c r="I2171" s="1">
        <v>3738.830927669665</v>
      </c>
      <c r="J2171" s="1">
        <v>580.51265322214283</v>
      </c>
      <c r="K2171" s="1">
        <v>8.5802852253517303E-2</v>
      </c>
      <c r="L2171" s="1">
        <v>99.022555736256862</v>
      </c>
      <c r="M2171" s="1">
        <v>3357.6770553993811</v>
      </c>
      <c r="N2171" s="1">
        <v>-15.094841805571471</v>
      </c>
      <c r="O2171" s="1">
        <v>2.7822330075030059E-7</v>
      </c>
    </row>
    <row r="2172" spans="1:15" x14ac:dyDescent="0.25">
      <c r="A2172">
        <v>7458.42</v>
      </c>
      <c r="B2172" s="1">
        <v>0.1</v>
      </c>
      <c r="C2172" s="1">
        <v>34.17687026440462</v>
      </c>
      <c r="D2172" s="1">
        <v>578.6</v>
      </c>
      <c r="E2172" s="1">
        <v>11907.059868332226</v>
      </c>
      <c r="F2172" s="1">
        <v>4393.8629234860746</v>
      </c>
      <c r="G2172" s="1">
        <v>12737.3888232834</v>
      </c>
      <c r="H2172" s="1">
        <v>2.8159999999999998E-2</v>
      </c>
      <c r="I2172" s="1">
        <v>3820.7503682487618</v>
      </c>
      <c r="J2172" s="1">
        <v>595.3529934166113</v>
      </c>
      <c r="K2172" s="1">
        <v>8.5788755251498303E-2</v>
      </c>
      <c r="L2172" s="1">
        <v>99.0395605426895</v>
      </c>
      <c r="M2172" s="1">
        <v>3417.6870264404897</v>
      </c>
      <c r="N2172" s="1">
        <v>-15.097951805571469</v>
      </c>
      <c r="O2172" s="1">
        <v>2.7735937039300792E-7</v>
      </c>
    </row>
    <row r="2173" spans="1:15" x14ac:dyDescent="0.25">
      <c r="A2173">
        <v>7493.23</v>
      </c>
      <c r="B2173" s="1">
        <v>0.1</v>
      </c>
      <c r="C2173" s="1">
        <v>34.802038864444363</v>
      </c>
      <c r="D2173" s="1">
        <v>578.70000000000005</v>
      </c>
      <c r="E2173" s="1">
        <v>12218.152653909887</v>
      </c>
      <c r="F2173" s="1">
        <v>4491.9819066759283</v>
      </c>
      <c r="G2173" s="1">
        <v>12859.570349660773</v>
      </c>
      <c r="H2173" s="1">
        <v>2.8159999999999998E-2</v>
      </c>
      <c r="I2173" s="1">
        <v>3906.0712231964603</v>
      </c>
      <c r="J2173" s="1">
        <v>610.90763269549439</v>
      </c>
      <c r="K2173" s="1">
        <v>8.5774586397650732E-2</v>
      </c>
      <c r="L2173" s="1">
        <v>99.056657654173975</v>
      </c>
      <c r="M2173" s="1">
        <v>3480.2038864444512</v>
      </c>
      <c r="N2173" s="1">
        <v>-15.10106180557147</v>
      </c>
      <c r="O2173" s="1">
        <v>2.7649812268544372E-7</v>
      </c>
    </row>
    <row r="2174" spans="1:15" x14ac:dyDescent="0.25">
      <c r="A2174">
        <v>7528.68</v>
      </c>
      <c r="B2174" s="1">
        <v>0.1</v>
      </c>
      <c r="C2174" s="1">
        <v>35.453988926037269</v>
      </c>
      <c r="D2174" s="1">
        <v>578.80000000000007</v>
      </c>
      <c r="E2174" s="1">
        <v>12544.582311012053</v>
      </c>
      <c r="F2174" s="1">
        <v>4594.2639824649523</v>
      </c>
      <c r="G2174" s="1">
        <v>12985.01617257466</v>
      </c>
      <c r="H2174" s="1">
        <v>2.8159999999999998E-2</v>
      </c>
      <c r="I2174" s="1">
        <v>3995.0121586651767</v>
      </c>
      <c r="J2174" s="1">
        <v>627.22911555060273</v>
      </c>
      <c r="K2174" s="1">
        <v>8.5760342819769367E-2</v>
      </c>
      <c r="L2174" s="1">
        <v>99.073850626957523</v>
      </c>
      <c r="M2174" s="1">
        <v>3545.3988926037709</v>
      </c>
      <c r="N2174" s="1">
        <v>-15.104171805571468</v>
      </c>
      <c r="O2174" s="1">
        <v>2.7563954929752758E-7</v>
      </c>
    </row>
    <row r="2175" spans="1:15" x14ac:dyDescent="0.25">
      <c r="A2175">
        <v>7564.81</v>
      </c>
      <c r="B2175" s="1">
        <v>0.1</v>
      </c>
      <c r="C2175" s="1">
        <v>36.134597918295448</v>
      </c>
      <c r="D2175" s="1">
        <v>578.9</v>
      </c>
      <c r="E2175" s="1">
        <v>12887.505806675303</v>
      </c>
      <c r="F2175" s="1">
        <v>4700.9830766737468</v>
      </c>
      <c r="G2175" s="1">
        <v>13113.891230402374</v>
      </c>
      <c r="H2175" s="1">
        <v>2.8159999999999998E-2</v>
      </c>
      <c r="I2175" s="1">
        <v>4087.8113710206494</v>
      </c>
      <c r="J2175" s="1">
        <v>644.37529033376518</v>
      </c>
      <c r="K2175" s="1">
        <v>8.574602147143362E-2</v>
      </c>
      <c r="L2175" s="1">
        <v>99.091143232837851</v>
      </c>
      <c r="M2175" s="1">
        <v>3613.4597918295185</v>
      </c>
      <c r="N2175" s="1">
        <v>-15.107281805571469</v>
      </c>
      <c r="O2175" s="1">
        <v>2.7478364192504495E-7</v>
      </c>
    </row>
    <row r="2176" spans="1:15" x14ac:dyDescent="0.25">
      <c r="A2176">
        <v>7601.66</v>
      </c>
      <c r="B2176" s="1">
        <v>0.1</v>
      </c>
      <c r="C2176" s="1">
        <v>36.845928753452284</v>
      </c>
      <c r="D2176" s="1">
        <v>579</v>
      </c>
      <c r="E2176" s="1">
        <v>13248.199913445191</v>
      </c>
      <c r="F2176" s="1">
        <v>4812.4381862786922</v>
      </c>
      <c r="G2176" s="1">
        <v>13246.373229244453</v>
      </c>
      <c r="H2176" s="1">
        <v>2.8159999999999998E-2</v>
      </c>
      <c r="I2176" s="1">
        <v>4184.7288576336468</v>
      </c>
      <c r="J2176" s="1">
        <v>662.40999567225958</v>
      </c>
      <c r="K2176" s="1">
        <v>8.5731619118216904E-2</v>
      </c>
      <c r="L2176" s="1">
        <v>99.108539476245468</v>
      </c>
      <c r="M2176" s="1">
        <v>3684.5928753452426</v>
      </c>
      <c r="N2176" s="1">
        <v>-15.110391805571469</v>
      </c>
      <c r="O2176" s="1">
        <v>2.7393039228956754E-7</v>
      </c>
    </row>
    <row r="2177" spans="1:15" x14ac:dyDescent="0.25">
      <c r="A2177">
        <v>7639.25</v>
      </c>
      <c r="B2177" s="1">
        <v>0.1</v>
      </c>
      <c r="C2177" s="1">
        <v>37.590253758756774</v>
      </c>
      <c r="D2177" s="1">
        <v>579.1</v>
      </c>
      <c r="E2177" s="1">
        <v>13628.077217436728</v>
      </c>
      <c r="F2177" s="1">
        <v>4928.9563716564653</v>
      </c>
      <c r="G2177" s="1">
        <v>13382.654001059689</v>
      </c>
      <c r="H2177" s="1">
        <v>2.8159999999999998E-2</v>
      </c>
      <c r="I2177" s="1">
        <v>4286.0490188317099</v>
      </c>
      <c r="J2177" s="1">
        <v>681.40386087183651</v>
      </c>
      <c r="K2177" s="1">
        <v>8.5717132320317718E-2</v>
      </c>
      <c r="L2177" s="1">
        <v>99.126043615693192</v>
      </c>
      <c r="M2177" s="1">
        <v>3759.0253758757171</v>
      </c>
      <c r="N2177" s="1">
        <v>-15.113501805571472</v>
      </c>
      <c r="O2177" s="1">
        <v>2.7307979213837198E-7</v>
      </c>
    </row>
    <row r="2178" spans="1:15" x14ac:dyDescent="0.25">
      <c r="A2178">
        <v>7677.62</v>
      </c>
      <c r="B2178" s="1">
        <v>0.1</v>
      </c>
      <c r="C2178" s="1">
        <v>38.370082523165763</v>
      </c>
      <c r="D2178" s="1">
        <v>579.20000000000005</v>
      </c>
      <c r="E2178" s="1">
        <v>14028.704778351654</v>
      </c>
      <c r="F2178" s="1">
        <v>5050.896197029926</v>
      </c>
      <c r="G2178" s="1">
        <v>13522.941048642835</v>
      </c>
      <c r="H2178" s="1">
        <v>2.8159999999999998E-2</v>
      </c>
      <c r="I2178" s="1">
        <v>4392.0836495912408</v>
      </c>
      <c r="J2178" s="1">
        <v>701.43523891758275</v>
      </c>
      <c r="K2178" s="1">
        <v>8.5702557412974334E-2</v>
      </c>
      <c r="L2178" s="1">
        <v>99.14366018795846</v>
      </c>
      <c r="M2178" s="1">
        <v>3837.0082523165365</v>
      </c>
      <c r="N2178" s="1">
        <v>-15.116611805571472</v>
      </c>
      <c r="O2178" s="1">
        <v>2.7223183324436379E-7</v>
      </c>
    </row>
    <row r="2179" spans="1:15" x14ac:dyDescent="0.25">
      <c r="A2179">
        <v>7716.81</v>
      </c>
      <c r="B2179" s="1">
        <v>0.1</v>
      </c>
      <c r="C2179" s="1">
        <v>39.18819409604928</v>
      </c>
      <c r="D2179" s="1">
        <v>579.30000000000007</v>
      </c>
      <c r="E2179" s="1">
        <v>14451.825866696045</v>
      </c>
      <c r="F2179" s="1">
        <v>5178.6516922398578</v>
      </c>
      <c r="G2179" s="1">
        <v>13667.459307059229</v>
      </c>
      <c r="H2179" s="1">
        <v>2.8159999999999998E-2</v>
      </c>
      <c r="I2179" s="1">
        <v>4503.1753845563981</v>
      </c>
      <c r="J2179" s="1">
        <v>722.59129333480223</v>
      </c>
      <c r="K2179" s="1">
        <v>8.5687890486693508E-2</v>
      </c>
      <c r="L2179" s="1">
        <v>99.161394032550902</v>
      </c>
      <c r="M2179" s="1">
        <v>3918.8194096049301</v>
      </c>
      <c r="N2179" s="1">
        <v>-15.119721805571471</v>
      </c>
      <c r="O2179" s="1">
        <v>2.7138650740599213E-7</v>
      </c>
    </row>
    <row r="2180" spans="1:15" x14ac:dyDescent="0.25">
      <c r="A2180">
        <v>7756.86</v>
      </c>
      <c r="B2180" s="1">
        <v>0.1</v>
      </c>
      <c r="C2180" s="1">
        <v>40.047675198330595</v>
      </c>
      <c r="D2180" s="1">
        <v>579.4</v>
      </c>
      <c r="E2180" s="1">
        <v>14899.385696337753</v>
      </c>
      <c r="F2180" s="1">
        <v>5312.656949326888</v>
      </c>
      <c r="G2180" s="1">
        <v>13816.453163707658</v>
      </c>
      <c r="H2180" s="1">
        <v>2.8159999999999998E-2</v>
      </c>
      <c r="I2180" s="1">
        <v>4619.7016950668603</v>
      </c>
      <c r="J2180" s="1">
        <v>744.96928481688769</v>
      </c>
      <c r="K2180" s="1">
        <v>8.5673127360607199E-2</v>
      </c>
      <c r="L2180" s="1">
        <v>99.179250324555852</v>
      </c>
      <c r="M2180" s="1">
        <v>4004.767519833058</v>
      </c>
      <c r="N2180" s="1">
        <v>-15.122831805571471</v>
      </c>
      <c r="O2180" s="1">
        <v>2.705438064471745E-7</v>
      </c>
    </row>
    <row r="2181" spans="1:15" x14ac:dyDescent="0.25">
      <c r="A2181">
        <v>7797.81</v>
      </c>
      <c r="B2181" s="1">
        <v>0.1</v>
      </c>
      <c r="C2181" s="1">
        <v>40.951964660041959</v>
      </c>
      <c r="D2181" s="1">
        <v>579.5</v>
      </c>
      <c r="E2181" s="1">
        <v>15373.561621043396</v>
      </c>
      <c r="F2181" s="1">
        <v>5453.3914595704291</v>
      </c>
      <c r="G2181" s="1">
        <v>13970.188779520076</v>
      </c>
      <c r="H2181" s="1">
        <v>2.8159999999999998E-2</v>
      </c>
      <c r="I2181" s="1">
        <v>4742.0795300612435</v>
      </c>
      <c r="J2181" s="1">
        <v>768.67808105216989</v>
      </c>
      <c r="K2181" s="1">
        <v>8.5658263556403394E-2</v>
      </c>
      <c r="L2181" s="1">
        <v>99.197234606865891</v>
      </c>
      <c r="M2181" s="1">
        <v>4095.1964660041995</v>
      </c>
      <c r="N2181" s="1">
        <v>-15.125941805571468</v>
      </c>
      <c r="O2181" s="1">
        <v>2.6970372221721635E-7</v>
      </c>
    </row>
    <row r="2182" spans="1:15" x14ac:dyDescent="0.25">
      <c r="A2182">
        <v>7839.71</v>
      </c>
      <c r="B2182" s="1">
        <v>0.1</v>
      </c>
      <c r="C2182" s="1">
        <v>41.904906178354317</v>
      </c>
      <c r="D2182" s="1">
        <v>579.6</v>
      </c>
      <c r="E2182" s="1">
        <v>15876.799046167456</v>
      </c>
      <c r="F2182" s="1">
        <v>5601.3863458421256</v>
      </c>
      <c r="G2182" s="1">
        <v>14128.956769475872</v>
      </c>
      <c r="H2182" s="1">
        <v>2.8159999999999998E-2</v>
      </c>
      <c r="I2182" s="1">
        <v>4870.7707355148923</v>
      </c>
      <c r="J2182" s="1">
        <v>793.83995230837286</v>
      </c>
      <c r="K2182" s="1">
        <v>8.5643294266705403E-2</v>
      </c>
      <c r="L2182" s="1">
        <v>99.215352829216158</v>
      </c>
      <c r="M2182" s="1">
        <v>4190.4906178354395</v>
      </c>
      <c r="N2182" s="1">
        <v>-15.12905180557147</v>
      </c>
      <c r="O2182" s="1">
        <v>2.688662465907323E-7</v>
      </c>
    </row>
    <row r="2183" spans="1:15" x14ac:dyDescent="0.25">
      <c r="A2183">
        <v>7882.62</v>
      </c>
      <c r="B2183" s="1">
        <v>0.1</v>
      </c>
      <c r="C2183" s="1">
        <v>42.91081093240637</v>
      </c>
      <c r="D2183" s="1">
        <v>579.70000000000005</v>
      </c>
      <c r="E2183" s="1">
        <v>16411.854233764258</v>
      </c>
      <c r="F2183" s="1">
        <v>5757.2316715968409</v>
      </c>
      <c r="G2183" s="1">
        <v>14293.075311166656</v>
      </c>
      <c r="H2183" s="1">
        <v>2.8159999999999998E-2</v>
      </c>
      <c r="I2183" s="1">
        <v>5006.2884100842093</v>
      </c>
      <c r="J2183" s="1">
        <v>820.59271168821294</v>
      </c>
      <c r="K2183" s="1">
        <v>8.5628214319330972E-2</v>
      </c>
      <c r="L2183" s="1">
        <v>99.233611392310763</v>
      </c>
      <c r="M2183" s="1">
        <v>4291.0810932406093</v>
      </c>
      <c r="N2183" s="1">
        <v>-15.132161805571469</v>
      </c>
      <c r="O2183" s="1">
        <v>2.6803137146756795E-7</v>
      </c>
    </row>
    <row r="2184" spans="1:15" x14ac:dyDescent="0.25">
      <c r="A2184">
        <v>7926.6</v>
      </c>
      <c r="B2184" s="1">
        <v>0.1</v>
      </c>
      <c r="C2184" s="1">
        <v>43.974532356772336</v>
      </c>
      <c r="D2184" s="1">
        <v>579.80000000000007</v>
      </c>
      <c r="E2184" s="1">
        <v>16981.845625388381</v>
      </c>
      <c r="F2184" s="1">
        <v>5921.585053820022</v>
      </c>
      <c r="G2184" s="1">
        <v>14462.893766588108</v>
      </c>
      <c r="H2184" s="1">
        <v>2.8159999999999998E-2</v>
      </c>
      <c r="I2184" s="1">
        <v>5149.2043946261083</v>
      </c>
      <c r="J2184" s="1">
        <v>849.09228126941912</v>
      </c>
      <c r="K2184" s="1">
        <v>8.5613018136290908E-2</v>
      </c>
      <c r="L2184" s="1">
        <v>99.252017198436974</v>
      </c>
      <c r="M2184" s="1">
        <v>4397.4532356772215</v>
      </c>
      <c r="N2184" s="1">
        <v>-15.135271805571472</v>
      </c>
      <c r="O2184" s="1">
        <v>2.6719908877272014E-7</v>
      </c>
    </row>
    <row r="2185" spans="1:15" x14ac:dyDescent="0.25">
      <c r="A2185">
        <v>7971.7</v>
      </c>
      <c r="B2185" s="1">
        <v>0.1</v>
      </c>
      <c r="C2185" s="1">
        <v>45.101555950433792</v>
      </c>
      <c r="D2185" s="1">
        <v>579.9</v>
      </c>
      <c r="E2185" s="1">
        <v>17590.315737450979</v>
      </c>
      <c r="F2185" s="1">
        <v>6095.1818646836091</v>
      </c>
      <c r="G2185" s="1">
        <v>14638.796922884081</v>
      </c>
      <c r="H2185" s="1">
        <v>2.8159999999999998E-2</v>
      </c>
      <c r="I2185" s="1">
        <v>5300.1581432031389</v>
      </c>
      <c r="J2185" s="1">
        <v>879.51578687254903</v>
      </c>
      <c r="K2185" s="1">
        <v>8.559769968653487E-2</v>
      </c>
      <c r="L2185" s="1">
        <v>99.270577709791155</v>
      </c>
      <c r="M2185" s="1">
        <v>4510.1555950433976</v>
      </c>
      <c r="N2185" s="1">
        <v>-15.138381805571472</v>
      </c>
      <c r="O2185" s="1">
        <v>2.6636939045626291E-7</v>
      </c>
    </row>
    <row r="2186" spans="1:15" x14ac:dyDescent="0.25">
      <c r="A2186">
        <v>8018</v>
      </c>
      <c r="B2186" s="1">
        <v>0.1</v>
      </c>
      <c r="C2186" s="1">
        <v>46.298107810200548</v>
      </c>
      <c r="D2186" s="1">
        <v>580</v>
      </c>
      <c r="E2186" s="1">
        <v>18241.306273318969</v>
      </c>
      <c r="F2186" s="1">
        <v>6278.8473811874837</v>
      </c>
      <c r="G2186" s="1">
        <v>14821.20998420978</v>
      </c>
      <c r="H2186" s="1">
        <v>2.8159999999999998E-2</v>
      </c>
      <c r="I2186" s="1">
        <v>5459.8672879891183</v>
      </c>
      <c r="J2186" s="1">
        <v>912.06531366594845</v>
      </c>
      <c r="K2186" s="1">
        <v>8.5582252431216976E-2</v>
      </c>
      <c r="L2186" s="1">
        <v>99.289301016027878</v>
      </c>
      <c r="M2186" s="1">
        <v>4629.8107810200236</v>
      </c>
      <c r="N2186" s="1">
        <v>-15.141491805571471</v>
      </c>
      <c r="O2186" s="1">
        <v>2.655422684932636E-7</v>
      </c>
    </row>
    <row r="2187" spans="1:15" x14ac:dyDescent="0.25">
      <c r="A2187">
        <v>8065.57</v>
      </c>
      <c r="B2187" s="1">
        <v>0.1</v>
      </c>
      <c r="C2187" s="1">
        <v>47.571286658778064</v>
      </c>
      <c r="D2187" s="1">
        <v>580.1</v>
      </c>
      <c r="E2187" s="1">
        <v>18939.449883560843</v>
      </c>
      <c r="F2187" s="1">
        <v>6473.5113395960807</v>
      </c>
      <c r="G2187" s="1">
        <v>15010.604481194452</v>
      </c>
      <c r="H2187" s="1">
        <v>2.8159999999999998E-2</v>
      </c>
      <c r="I2187" s="1">
        <v>5629.1402953009419</v>
      </c>
      <c r="J2187" s="1">
        <v>946.97249417804221</v>
      </c>
      <c r="K2187" s="1">
        <v>8.556666925995951E-2</v>
      </c>
      <c r="L2187" s="1">
        <v>99.308195912908687</v>
      </c>
      <c r="M2187" s="1">
        <v>4757.1286658778263</v>
      </c>
      <c r="N2187" s="1">
        <v>-15.144601805571471</v>
      </c>
      <c r="O2187" s="1">
        <v>2.647177148837095E-7</v>
      </c>
    </row>
    <row r="2188" spans="1:15" x14ac:dyDescent="0.25">
      <c r="A2188">
        <v>8114.5</v>
      </c>
      <c r="B2188" s="1">
        <v>0.1</v>
      </c>
      <c r="C2188" s="1">
        <v>48.929225591805469</v>
      </c>
      <c r="D2188" s="1">
        <v>580.20000000000005</v>
      </c>
      <c r="E2188" s="1">
        <v>19690.083068023421</v>
      </c>
      <c r="F2188" s="1">
        <v>6680.2254803004471</v>
      </c>
      <c r="G2188" s="1">
        <v>15207.505309420554</v>
      </c>
      <c r="H2188" s="1">
        <v>2.8159999999999998E-2</v>
      </c>
      <c r="I2188" s="1">
        <v>5808.8917220003896</v>
      </c>
      <c r="J2188" s="1">
        <v>984.50415340117115</v>
      </c>
      <c r="K2188" s="1">
        <v>8.5550942416204798E-2</v>
      </c>
      <c r="L2188" s="1">
        <v>99.327271994402537</v>
      </c>
      <c r="M2188" s="1">
        <v>4892.9225591805334</v>
      </c>
      <c r="N2188" s="1">
        <v>-15.14771180557147</v>
      </c>
      <c r="O2188" s="1">
        <v>2.6389572165242926E-7</v>
      </c>
    </row>
    <row r="2189" spans="1:15" x14ac:dyDescent="0.25">
      <c r="A2189">
        <v>8164.88</v>
      </c>
      <c r="B2189" s="1">
        <v>0.1</v>
      </c>
      <c r="C2189" s="1">
        <v>50.381291744585418</v>
      </c>
      <c r="D2189" s="1">
        <v>580.30000000000007</v>
      </c>
      <c r="E2189" s="1">
        <v>20499.386162132803</v>
      </c>
      <c r="F2189" s="1">
        <v>6900.1848405628962</v>
      </c>
      <c r="G2189" s="1">
        <v>15412.499167759275</v>
      </c>
      <c r="H2189" s="1">
        <v>2.8159999999999998E-2</v>
      </c>
      <c r="I2189" s="1">
        <v>6000.16073092426</v>
      </c>
      <c r="J2189" s="1">
        <v>1024.9693081066403</v>
      </c>
      <c r="K2189" s="1">
        <v>8.5535063409244758E-2</v>
      </c>
      <c r="L2189" s="1">
        <v>99.34653976120822</v>
      </c>
      <c r="M2189" s="1">
        <v>5038.1291744585724</v>
      </c>
      <c r="N2189" s="1">
        <v>-15.15082180557147</v>
      </c>
      <c r="O2189" s="1">
        <v>2.6307628084901564E-7</v>
      </c>
    </row>
    <row r="2190" spans="1:15" x14ac:dyDescent="0.25">
      <c r="A2190">
        <v>8216.82</v>
      </c>
      <c r="B2190" s="1">
        <v>0.1</v>
      </c>
      <c r="C2190" s="1">
        <v>51.938334796407069</v>
      </c>
      <c r="D2190" s="1">
        <v>580.4</v>
      </c>
      <c r="E2190" s="1">
        <v>21374.558348436691</v>
      </c>
      <c r="F2190" s="1">
        <v>7134.7537842292941</v>
      </c>
      <c r="G2190" s="1">
        <v>15626.244746811293</v>
      </c>
      <c r="H2190" s="1">
        <v>2.8159999999999998E-2</v>
      </c>
      <c r="I2190" s="1">
        <v>6204.1337254167793</v>
      </c>
      <c r="J2190" s="1">
        <v>1068.7279174218345</v>
      </c>
      <c r="K2190" s="1">
        <v>8.5519022909853998E-2</v>
      </c>
      <c r="L2190" s="1">
        <v>99.366010749485625</v>
      </c>
      <c r="M2190" s="1">
        <v>5193.8334796407617</v>
      </c>
      <c r="N2190" s="1">
        <v>-15.153931805571469</v>
      </c>
      <c r="O2190" s="1">
        <v>2.622593845477489E-7</v>
      </c>
    </row>
    <row r="2191" spans="1:15" x14ac:dyDescent="0.25">
      <c r="A2191">
        <v>8270.43</v>
      </c>
      <c r="B2191" s="1">
        <v>0.1</v>
      </c>
      <c r="C2191" s="1">
        <v>53.612999012449542</v>
      </c>
      <c r="D2191" s="1">
        <v>580.5</v>
      </c>
      <c r="E2191" s="1">
        <v>22324.038426116123</v>
      </c>
      <c r="F2191" s="1">
        <v>7385.4980733232105</v>
      </c>
      <c r="G2191" s="1">
        <v>15849.485125026582</v>
      </c>
      <c r="H2191" s="1">
        <v>2.8159999999999998E-2</v>
      </c>
      <c r="I2191" s="1">
        <v>6422.1722376723574</v>
      </c>
      <c r="J2191" s="1">
        <v>1116.2019213058063</v>
      </c>
      <c r="K2191" s="1">
        <v>8.5502810625567693E-2</v>
      </c>
      <c r="L2191" s="1">
        <v>99.385697684671655</v>
      </c>
      <c r="M2191" s="1">
        <v>5361.2999012450018</v>
      </c>
      <c r="N2191" s="1">
        <v>-15.157041805571469</v>
      </c>
      <c r="O2191" s="1">
        <v>2.6144502484752E-7</v>
      </c>
    </row>
    <row r="2192" spans="1:15" x14ac:dyDescent="0.25">
      <c r="A2192">
        <v>8325.85</v>
      </c>
      <c r="B2192" s="1">
        <v>0.1</v>
      </c>
      <c r="C2192" s="1">
        <v>55.420118858189035</v>
      </c>
      <c r="D2192" s="1">
        <v>580.6</v>
      </c>
      <c r="E2192" s="1">
        <v>23357.786023186745</v>
      </c>
      <c r="F2192" s="1">
        <v>7654.2247224275998</v>
      </c>
      <c r="G2192" s="1">
        <v>16083.062976920672</v>
      </c>
      <c r="H2192" s="1">
        <v>2.8159999999999998E-2</v>
      </c>
      <c r="I2192" s="1">
        <v>6655.8475847196542</v>
      </c>
      <c r="J2192" s="1">
        <v>1167.8893011593373</v>
      </c>
      <c r="K2192" s="1">
        <v>8.5486415150452771E-2</v>
      </c>
      <c r="L2192" s="1">
        <v>99.40561466672564</v>
      </c>
      <c r="M2192" s="1">
        <v>5542.0118858188289</v>
      </c>
      <c r="N2192" s="1">
        <v>-15.160151805571472</v>
      </c>
      <c r="O2192" s="1">
        <v>2.6063319387175314E-7</v>
      </c>
    </row>
    <row r="2193" spans="1:15" x14ac:dyDescent="0.25">
      <c r="A2193">
        <v>8383.23</v>
      </c>
      <c r="B2193" s="1">
        <v>0.1</v>
      </c>
      <c r="C2193" s="1">
        <v>57.377225856760582</v>
      </c>
      <c r="D2193" s="1">
        <v>580.70000000000005</v>
      </c>
      <c r="E2193" s="1">
        <v>24487.643612980657</v>
      </c>
      <c r="F2193" s="1">
        <v>7943.0319867697999</v>
      </c>
      <c r="G2193" s="1">
        <v>16327.93940141426</v>
      </c>
      <c r="H2193" s="1">
        <v>2.8159999999999998E-2</v>
      </c>
      <c r="I2193" s="1">
        <v>6906.9843363215668</v>
      </c>
      <c r="J2193" s="1">
        <v>1224.382180649033</v>
      </c>
      <c r="K2193" s="1">
        <v>8.54698237825888E-2</v>
      </c>
      <c r="L2193" s="1">
        <v>99.42577739515761</v>
      </c>
      <c r="M2193" s="1">
        <v>5737.722585676056</v>
      </c>
      <c r="N2193" s="1">
        <v>-15.163261805571471</v>
      </c>
      <c r="O2193" s="1">
        <v>2.5982388376833354E-7</v>
      </c>
    </row>
    <row r="2194" spans="1:15" x14ac:dyDescent="0.25">
      <c r="A2194">
        <v>8442.73</v>
      </c>
      <c r="B2194" s="1">
        <v>0.1</v>
      </c>
      <c r="C2194" s="1">
        <v>59.505205461631718</v>
      </c>
      <c r="D2194" s="1">
        <v>580.80000000000007</v>
      </c>
      <c r="E2194" s="1">
        <v>25727.807981061003</v>
      </c>
      <c r="F2194" s="1">
        <v>8254.3727009900686</v>
      </c>
      <c r="G2194" s="1">
        <v>16585.217464773457</v>
      </c>
      <c r="H2194" s="1">
        <v>2.8159999999999998E-2</v>
      </c>
      <c r="I2194" s="1">
        <v>7177.7153921652789</v>
      </c>
      <c r="J2194" s="1">
        <v>1286.3903990530503</v>
      </c>
      <c r="K2194" s="1">
        <v>8.5453022300212442E-2</v>
      </c>
      <c r="L2194" s="1">
        <v>99.446203444978622</v>
      </c>
      <c r="M2194" s="1">
        <v>5950.5205461631704</v>
      </c>
      <c r="N2194" s="1">
        <v>-15.166371805571471</v>
      </c>
      <c r="O2194" s="1">
        <v>2.5901708670952564E-7</v>
      </c>
    </row>
    <row r="2195" spans="1:15" x14ac:dyDescent="0.25">
      <c r="A2195">
        <v>8504.56</v>
      </c>
      <c r="B2195" s="1">
        <v>0.1</v>
      </c>
      <c r="C2195" s="1">
        <v>61.829159140455261</v>
      </c>
      <c r="D2195" s="1">
        <v>580.9</v>
      </c>
      <c r="E2195" s="1">
        <v>27095.45209069386</v>
      </c>
      <c r="F2195" s="1">
        <v>8591.1354350323436</v>
      </c>
      <c r="G2195" s="1">
        <v>16856.17196208908</v>
      </c>
      <c r="H2195" s="1">
        <v>2.8159999999999998E-2</v>
      </c>
      <c r="I2195" s="1">
        <v>7470.5525522020416</v>
      </c>
      <c r="J2195" s="1">
        <v>1354.7726045346931</v>
      </c>
      <c r="K2195" s="1">
        <v>8.5435994684293359E-2</v>
      </c>
      <c r="L2195" s="1">
        <v>99.466912608632867</v>
      </c>
      <c r="M2195" s="1">
        <v>6182.9159140455886</v>
      </c>
      <c r="N2195" s="1">
        <v>-15.16948180557147</v>
      </c>
      <c r="O2195" s="1">
        <v>2.5821279489190135E-7</v>
      </c>
    </row>
    <row r="2196" spans="1:15" x14ac:dyDescent="0.25">
      <c r="A2196">
        <v>8568.94</v>
      </c>
      <c r="B2196" s="1">
        <v>0.1</v>
      </c>
      <c r="C2196" s="1">
        <v>64.379551627854568</v>
      </c>
      <c r="D2196" s="1">
        <v>581</v>
      </c>
      <c r="E2196" s="1">
        <v>28611.556914019155</v>
      </c>
      <c r="F2196" s="1">
        <v>8956.7497682160665</v>
      </c>
      <c r="G2196" s="1">
        <v>17142.287496867964</v>
      </c>
      <c r="H2196" s="1">
        <v>2.8159999999999998E-2</v>
      </c>
      <c r="I2196" s="1">
        <v>7788.4780593183195</v>
      </c>
      <c r="J2196" s="1">
        <v>1430.5778457009578</v>
      </c>
      <c r="K2196" s="1">
        <v>8.5418722770745359E-2</v>
      </c>
      <c r="L2196" s="1">
        <v>99.487927324589265</v>
      </c>
      <c r="M2196" s="1">
        <v>6437.9551627855108</v>
      </c>
      <c r="N2196" s="1">
        <v>-15.17259180557147</v>
      </c>
      <c r="O2196" s="1">
        <v>2.5741100053626355E-7</v>
      </c>
    </row>
    <row r="2197" spans="1:15" x14ac:dyDescent="0.25">
      <c r="A2197">
        <v>8636.14</v>
      </c>
      <c r="B2197" s="1">
        <v>0.1</v>
      </c>
      <c r="C2197" s="1">
        <v>67.193761429355021</v>
      </c>
      <c r="D2197" s="1">
        <v>581.1</v>
      </c>
      <c r="E2197" s="1">
        <v>30302.041574957617</v>
      </c>
      <c r="F2197" s="1">
        <v>9355.3247293408112</v>
      </c>
      <c r="G2197" s="1">
        <v>17445.307861700039</v>
      </c>
      <c r="H2197" s="1">
        <v>2.8159999999999998E-2</v>
      </c>
      <c r="I2197" s="1">
        <v>8135.0649820354902</v>
      </c>
      <c r="J2197" s="1">
        <v>1515.102078747881</v>
      </c>
      <c r="K2197" s="1">
        <v>8.5401185808816019E-2</v>
      </c>
      <c r="L2197" s="1">
        <v>99.509273221465875</v>
      </c>
      <c r="M2197" s="1">
        <v>6719.3761429354709</v>
      </c>
      <c r="N2197" s="1">
        <v>-15.175701805571469</v>
      </c>
      <c r="O2197" s="1">
        <v>2.566116958875707E-7</v>
      </c>
    </row>
    <row r="2198" spans="1:15" x14ac:dyDescent="0.25">
      <c r="A2198">
        <v>8706.4599999999991</v>
      </c>
      <c r="B2198" s="1">
        <v>0.1</v>
      </c>
      <c r="C2198" s="1">
        <v>70.318212740038376</v>
      </c>
      <c r="D2198" s="1">
        <v>581.20000000000005</v>
      </c>
      <c r="E2198" s="1">
        <v>32199.325684524461</v>
      </c>
      <c r="F2198" s="1">
        <v>9791.8336531557416</v>
      </c>
      <c r="G2198" s="1">
        <v>17767.301041635419</v>
      </c>
      <c r="H2198" s="1">
        <v>2.8159999999999998E-2</v>
      </c>
      <c r="I2198" s="1">
        <v>8514.637959265865</v>
      </c>
      <c r="J2198" s="1">
        <v>1609.9662842262233</v>
      </c>
      <c r="K2198" s="1">
        <v>8.5383359892274038E-2</v>
      </c>
      <c r="L2198" s="1">
        <v>99.530979818772778</v>
      </c>
      <c r="M2198" s="1">
        <v>7031.8212740037779</v>
      </c>
      <c r="N2198" s="1">
        <v>-15.178811805571469</v>
      </c>
      <c r="O2198" s="1">
        <v>2.5581487321486214E-7</v>
      </c>
    </row>
    <row r="2199" spans="1:15" x14ac:dyDescent="0.25">
      <c r="A2199">
        <v>8780.27</v>
      </c>
      <c r="B2199" s="1">
        <v>0.1</v>
      </c>
      <c r="C2199" s="1">
        <v>73.811364119359709</v>
      </c>
      <c r="D2199" s="1">
        <v>581.30000000000007</v>
      </c>
      <c r="E2199" s="1">
        <v>34344.531699049163</v>
      </c>
      <c r="F2199" s="1">
        <v>10272.365290653242</v>
      </c>
      <c r="G2199" s="1">
        <v>18110.746239937042</v>
      </c>
      <c r="H2199" s="1">
        <v>2.8159999999999998E-2</v>
      </c>
      <c r="I2199" s="1">
        <v>8932.4915570897774</v>
      </c>
      <c r="J2199" s="1">
        <v>1717.2265849524583</v>
      </c>
      <c r="K2199" s="1">
        <v>8.5365217214877415E-2</v>
      </c>
      <c r="L2199" s="1">
        <v>99.553081443981654</v>
      </c>
      <c r="M2199" s="1">
        <v>7381.1364119359496</v>
      </c>
      <c r="N2199" s="1">
        <v>-15.181921805571472</v>
      </c>
      <c r="O2199" s="1">
        <v>2.5502052481118218E-7</v>
      </c>
    </row>
    <row r="2200" spans="1:15" x14ac:dyDescent="0.25">
      <c r="A2200">
        <v>8858.01</v>
      </c>
      <c r="B2200" s="1">
        <v>0.1</v>
      </c>
      <c r="C2200" s="1">
        <v>77.74799110940458</v>
      </c>
      <c r="D2200" s="1">
        <v>581.4</v>
      </c>
      <c r="E2200" s="1">
        <v>36790.658806027212</v>
      </c>
      <c r="F2200" s="1">
        <v>10804.471620910963</v>
      </c>
      <c r="G2200" s="1">
        <v>18478.652640347362</v>
      </c>
      <c r="H2200" s="1">
        <v>2.8159999999999998E-2</v>
      </c>
      <c r="I2200" s="1">
        <v>9395.1927138356223</v>
      </c>
      <c r="J2200" s="1">
        <v>1839.5329403013607</v>
      </c>
      <c r="K2200" s="1">
        <v>8.534672507791552E-2</v>
      </c>
      <c r="L2200" s="1">
        <v>99.575618454776389</v>
      </c>
      <c r="M2200" s="1">
        <v>7774.799110940512</v>
      </c>
      <c r="N2200" s="1">
        <v>-15.185031805571471</v>
      </c>
      <c r="O2200" s="1">
        <v>2.5422864299350926E-7</v>
      </c>
    </row>
    <row r="2201" spans="1:15" x14ac:dyDescent="0.25">
      <c r="A2201">
        <v>8940.24</v>
      </c>
      <c r="B2201" s="1">
        <v>0.1</v>
      </c>
      <c r="C2201" s="1">
        <v>82.225478620024958</v>
      </c>
      <c r="D2201" s="1">
        <v>581.5</v>
      </c>
      <c r="E2201" s="1">
        <v>39607.273671203911</v>
      </c>
      <c r="F2201" s="1">
        <v>11397.660440047932</v>
      </c>
      <c r="G2201" s="1">
        <v>18874.725072089168</v>
      </c>
      <c r="H2201" s="1">
        <v>2.8159999999999998E-2</v>
      </c>
      <c r="I2201" s="1">
        <v>9911.0090783025516</v>
      </c>
      <c r="J2201" s="1">
        <v>1980.3636835601956</v>
      </c>
      <c r="K2201" s="1">
        <v>8.5327844539422326E-2</v>
      </c>
      <c r="L2201" s="1">
        <v>99.598638902326229</v>
      </c>
      <c r="M2201" s="1">
        <v>8222.547862002466</v>
      </c>
      <c r="N2201" s="1">
        <v>-15.188141805571471</v>
      </c>
      <c r="O2201" s="1">
        <v>2.5343922010267617E-7</v>
      </c>
    </row>
    <row r="2202" spans="1:15" x14ac:dyDescent="0.25">
      <c r="A2202">
        <v>9027.61</v>
      </c>
      <c r="B2202" s="1">
        <v>0.1</v>
      </c>
      <c r="C2202" s="1">
        <v>87.373337157146949</v>
      </c>
      <c r="D2202" s="1">
        <v>581.6</v>
      </c>
      <c r="E2202" s="1">
        <v>42887.647422665068</v>
      </c>
      <c r="F2202" s="1">
        <v>12064.111147246202</v>
      </c>
      <c r="G2202" s="1">
        <v>19303.601034698433</v>
      </c>
      <c r="H2202" s="1">
        <v>2.8159999999999998E-2</v>
      </c>
      <c r="I2202" s="1">
        <v>10490.531432388003</v>
      </c>
      <c r="J2202" s="1">
        <v>2144.3823711332534</v>
      </c>
      <c r="K2202" s="1">
        <v>8.5308528530972164E-2</v>
      </c>
      <c r="L2202" s="1">
        <v>99.622200849761271</v>
      </c>
      <c r="M2202" s="1">
        <v>8737.3337157147034</v>
      </c>
      <c r="N2202" s="1">
        <v>-15.19125180557147</v>
      </c>
      <c r="O2202" s="1">
        <v>2.5265224850329954E-7</v>
      </c>
    </row>
    <row r="2203" spans="1:15" x14ac:dyDescent="0.25">
      <c r="A2203">
        <v>9120.98</v>
      </c>
      <c r="B2203" s="1">
        <v>0.1</v>
      </c>
      <c r="C2203" s="1">
        <v>93.368087884426743</v>
      </c>
      <c r="D2203" s="1">
        <v>581.70000000000005</v>
      </c>
      <c r="E2203" s="1">
        <v>46759.989015251333</v>
      </c>
      <c r="F2203" s="1">
        <v>12819.746573740204</v>
      </c>
      <c r="G2203" s="1">
        <v>19771.200034229332</v>
      </c>
      <c r="H2203" s="1">
        <v>2.8159999999999998E-2</v>
      </c>
      <c r="I2203" s="1">
        <v>11147.605716295833</v>
      </c>
      <c r="J2203" s="1">
        <v>2337.9994507625665</v>
      </c>
      <c r="K2203" s="1">
        <v>8.5288719157570289E-2</v>
      </c>
      <c r="L2203" s="1">
        <v>99.646375695818122</v>
      </c>
      <c r="M2203" s="1">
        <v>9336.8087884426131</v>
      </c>
      <c r="N2203" s="1">
        <v>-15.19436180557147</v>
      </c>
      <c r="O2203" s="1">
        <v>2.5186772058370531E-7</v>
      </c>
    </row>
    <row r="2204" spans="1:15" x14ac:dyDescent="0.25">
      <c r="A2204">
        <v>9221.44</v>
      </c>
      <c r="B2204" s="1">
        <v>0.1</v>
      </c>
      <c r="C2204" s="1">
        <v>100.45749240946911</v>
      </c>
      <c r="D2204" s="1">
        <v>581.80000000000007</v>
      </c>
      <c r="E2204" s="1">
        <v>51405.84933007224</v>
      </c>
      <c r="F2204" s="1">
        <v>13685.896142577438</v>
      </c>
      <c r="G2204" s="1">
        <v>20285.256907799019</v>
      </c>
      <c r="H2204" s="1">
        <v>2.8159999999999998E-2</v>
      </c>
      <c r="I2204" s="1">
        <v>11900.779254415165</v>
      </c>
      <c r="J2204" s="1">
        <v>2570.2924665036121</v>
      </c>
      <c r="K2204" s="1">
        <v>8.5268343695909812E-2</v>
      </c>
      <c r="L2204" s="1">
        <v>99.671253099893818</v>
      </c>
      <c r="M2204" s="1">
        <v>10045.749240946861</v>
      </c>
      <c r="N2204" s="1">
        <v>-15.197471805571469</v>
      </c>
      <c r="O2204" s="1">
        <v>2.5108562875585486E-7</v>
      </c>
    </row>
    <row r="2205" spans="1:15" x14ac:dyDescent="0.25">
      <c r="A2205">
        <v>9330.44</v>
      </c>
      <c r="B2205" s="1">
        <v>0.1</v>
      </c>
      <c r="C2205" s="1">
        <v>109.00193064885292</v>
      </c>
      <c r="D2205" s="1">
        <v>581.9</v>
      </c>
      <c r="E2205" s="1">
        <v>57091.762136296522</v>
      </c>
      <c r="F2205" s="1">
        <v>14691.98987064786</v>
      </c>
      <c r="G2205" s="1">
        <v>20856.171423961147</v>
      </c>
      <c r="H2205" s="1">
        <v>2.8159999999999998E-2</v>
      </c>
      <c r="I2205" s="1">
        <v>12775.643365780754</v>
      </c>
      <c r="J2205" s="1">
        <v>2854.5881068148265</v>
      </c>
      <c r="K2205" s="1">
        <v>8.5247308423098786E-2</v>
      </c>
      <c r="L2205" s="1">
        <v>99.696948575956796</v>
      </c>
      <c r="M2205" s="1">
        <v>10900.193064885207</v>
      </c>
      <c r="N2205" s="1">
        <v>-15.200581805571467</v>
      </c>
      <c r="O2205" s="1">
        <v>2.5030596545527174E-7</v>
      </c>
    </row>
    <row r="2206" spans="1:15" x14ac:dyDescent="0.25">
      <c r="A2206">
        <v>9449.99</v>
      </c>
      <c r="B2206" s="1">
        <v>0.1</v>
      </c>
      <c r="C2206" s="1">
        <v>119.54934434167838</v>
      </c>
      <c r="D2206" s="1">
        <v>582</v>
      </c>
      <c r="E2206" s="1">
        <v>64226.955917801475</v>
      </c>
      <c r="F2206" s="1">
        <v>15880.159280506336</v>
      </c>
      <c r="G2206" s="1">
        <v>21498.434630349813</v>
      </c>
      <c r="H2206" s="1">
        <v>2.8159999999999998E-2</v>
      </c>
      <c r="I2206" s="1">
        <v>13808.834156962032</v>
      </c>
      <c r="J2206" s="1">
        <v>3211.3477958900739</v>
      </c>
      <c r="K2206" s="1">
        <v>8.5225488626063384E-2</v>
      </c>
      <c r="L2206" s="1">
        <v>99.723615784253894</v>
      </c>
      <c r="M2206" s="1">
        <v>11954.934434167808</v>
      </c>
      <c r="N2206" s="1">
        <v>-15.203691805571472</v>
      </c>
      <c r="O2206" s="1">
        <v>2.4952872314096747E-7</v>
      </c>
    </row>
    <row r="2207" spans="1:15" x14ac:dyDescent="0.25">
      <c r="A2207">
        <v>9582.9699999999993</v>
      </c>
      <c r="B2207" s="1">
        <v>0.1</v>
      </c>
      <c r="C2207" s="1">
        <v>132.98140732925691</v>
      </c>
      <c r="D2207" s="1">
        <v>582.1</v>
      </c>
      <c r="E2207" s="1">
        <v>73476.752441168719</v>
      </c>
      <c r="F2207" s="1">
        <v>17313.639085528164</v>
      </c>
      <c r="G2207" s="1">
        <v>22233.188039986318</v>
      </c>
      <c r="H2207" s="1">
        <v>2.8159999999999998E-2</v>
      </c>
      <c r="I2207" s="1">
        <v>15055.338335241882</v>
      </c>
      <c r="J2207" s="1">
        <v>3673.837622058436</v>
      </c>
      <c r="K2207" s="1">
        <v>8.5202711415499399E-2</v>
      </c>
      <c r="L2207" s="1">
        <v>99.751467672460407</v>
      </c>
      <c r="M2207" s="1">
        <v>13298.14073292564</v>
      </c>
      <c r="N2207" s="1">
        <v>-15.206801805571471</v>
      </c>
      <c r="O2207" s="1">
        <v>2.487538942953725E-7</v>
      </c>
    </row>
    <row r="2208" spans="1:15" x14ac:dyDescent="0.25">
      <c r="A2208">
        <v>9733.7999999999993</v>
      </c>
      <c r="B2208" s="1">
        <v>0.1</v>
      </c>
      <c r="C2208" s="1">
        <v>150.82745924759789</v>
      </c>
      <c r="D2208" s="1">
        <v>582.20000000000005</v>
      </c>
      <c r="E2208" s="1">
        <v>86008.059614477257</v>
      </c>
      <c r="F2208" s="1">
        <v>19093.515865579142</v>
      </c>
      <c r="G2208" s="1">
        <v>23093.23366685948</v>
      </c>
      <c r="H2208" s="1">
        <v>2.8159999999999998E-2</v>
      </c>
      <c r="I2208" s="1">
        <v>16603.057274416649</v>
      </c>
      <c r="J2208" s="1">
        <v>4300.402980723863</v>
      </c>
      <c r="K2208" s="1">
        <v>8.5178723760175101E-2</v>
      </c>
      <c r="L2208" s="1">
        <v>99.780815791887548</v>
      </c>
      <c r="M2208" s="1">
        <v>15082.745924759729</v>
      </c>
      <c r="N2208" s="1">
        <v>-15.209911805571471</v>
      </c>
      <c r="O2208" s="1">
        <v>2.4798147142425775E-7</v>
      </c>
    </row>
    <row r="2209" spans="1:15" x14ac:dyDescent="0.25">
      <c r="A2209">
        <v>9909.83</v>
      </c>
      <c r="B2209" s="1">
        <v>0.1</v>
      </c>
      <c r="C2209" s="1">
        <v>176.03334801213785</v>
      </c>
      <c r="D2209" s="1">
        <v>582.30000000000007</v>
      </c>
      <c r="E2209" s="1">
        <v>104095.9169677068</v>
      </c>
      <c r="F2209" s="1">
        <v>21396.393230414109</v>
      </c>
      <c r="G2209" s="1">
        <v>24134.091991338093</v>
      </c>
      <c r="H2209" s="1">
        <v>2.8159999999999998E-2</v>
      </c>
      <c r="I2209" s="1">
        <v>18605.559330794884</v>
      </c>
      <c r="J2209" s="1">
        <v>5204.7958483853399</v>
      </c>
      <c r="K2209" s="1">
        <v>8.5153126492904546E-2</v>
      </c>
      <c r="L2209" s="1">
        <v>99.812151455634705</v>
      </c>
      <c r="M2209" s="1">
        <v>17603.334801213714</v>
      </c>
      <c r="N2209" s="1">
        <v>-15.21302180557147</v>
      </c>
      <c r="O2209" s="1">
        <v>2.4721144705666598E-7</v>
      </c>
    </row>
    <row r="2210" spans="1:15" x14ac:dyDescent="0.25">
      <c r="A2210">
        <v>10125.07</v>
      </c>
      <c r="B2210" s="1">
        <v>0.1</v>
      </c>
      <c r="C2210" s="1">
        <v>215.24150240627415</v>
      </c>
      <c r="D2210" s="1">
        <v>582.4</v>
      </c>
      <c r="E2210" s="1">
        <v>132941.1450030749</v>
      </c>
      <c r="F2210" s="1">
        <v>24575.568937819942</v>
      </c>
      <c r="G2210" s="1">
        <v>25463.13741683781</v>
      </c>
      <c r="H2210" s="1">
        <v>2.8159999999999998E-2</v>
      </c>
      <c r="I2210" s="1">
        <v>21370.059945930388</v>
      </c>
      <c r="J2210" s="1">
        <v>6647.0572501537454</v>
      </c>
      <c r="K2210" s="1">
        <v>8.5125216529296305E-2</v>
      </c>
      <c r="L2210" s="1">
        <v>99.846339752351795</v>
      </c>
      <c r="M2210" s="1">
        <v>21524.150240627387</v>
      </c>
      <c r="N2210" s="1">
        <v>-15.21613180557147</v>
      </c>
      <c r="O2210" s="1">
        <v>2.4644381374483852E-7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12</vt:i4>
      </vt:variant>
    </vt:vector>
  </HeadingPairs>
  <TitlesOfParts>
    <vt:vector size="14" baseType="lpstr">
      <vt:lpstr>user_interface</vt:lpstr>
      <vt:lpstr>outputs</vt:lpstr>
      <vt:lpstr>BGTR</vt:lpstr>
      <vt:lpstr>depth</vt:lpstr>
      <vt:lpstr>Dm</vt:lpstr>
      <vt:lpstr>k1_</vt:lpstr>
      <vt:lpstr>k2_</vt:lpstr>
      <vt:lpstr>kr</vt:lpstr>
      <vt:lpstr>min</vt:lpstr>
      <vt:lpstr>omdr</vt:lpstr>
      <vt:lpstr>refrac</vt:lpstr>
      <vt:lpstr>Rm</vt:lpstr>
      <vt:lpstr>RT</vt:lpstr>
      <vt:lpstr>vol</vt:lpstr>
    </vt:vector>
  </TitlesOfParts>
  <Company>University of South Carolina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morris</dc:creator>
  <cp:lastModifiedBy>morris</cp:lastModifiedBy>
  <dcterms:created xsi:type="dcterms:W3CDTF">2018-02-07T19:42:10Z</dcterms:created>
  <dcterms:modified xsi:type="dcterms:W3CDTF">2018-12-28T00:50:58Z</dcterms:modified>
</cp:coreProperties>
</file>